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lanc\Documents\Analyste Statisticien\Vba\"/>
    </mc:Choice>
  </mc:AlternateContent>
  <xr:revisionPtr revIDLastSave="0" documentId="13_ncr:1_{7D236681-3BBD-479A-AA3C-38D5BB835242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PUT" sheetId="1" r:id="rId1"/>
    <sheet name="BASE" sheetId="2" r:id="rId2"/>
    <sheet name="Analyse" sheetId="3" r:id="rId3"/>
    <sheet name="Tableau_Bord" sheetId="4" r:id="rId4"/>
  </sheets>
  <definedNames>
    <definedName name="Segment_AA">#N/A</definedName>
    <definedName name="Segment_AD">#N/A</definedName>
    <definedName name="Segment_AD1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0" i="3" l="1"/>
  <c r="T46" i="4"/>
  <c r="T47" i="4"/>
  <c r="T45" i="4"/>
  <c r="T42" i="4"/>
  <c r="T41" i="4"/>
  <c r="T36" i="4"/>
  <c r="T37" i="4"/>
  <c r="T38" i="4"/>
  <c r="T35" i="4"/>
  <c r="T25" i="4"/>
  <c r="T26" i="4"/>
  <c r="T27" i="4"/>
  <c r="T28" i="4"/>
  <c r="T29" i="4"/>
  <c r="T30" i="4"/>
  <c r="T31" i="4"/>
  <c r="T32" i="4"/>
  <c r="T24" i="4"/>
  <c r="O39" i="4"/>
  <c r="O40" i="4"/>
  <c r="O41" i="4"/>
  <c r="O42" i="4"/>
  <c r="O43" i="4"/>
  <c r="O44" i="4"/>
  <c r="O45" i="4"/>
  <c r="O38" i="4"/>
  <c r="AI9" i="3"/>
  <c r="G9" i="3"/>
  <c r="J9" i="3"/>
  <c r="AG9" i="3"/>
  <c r="N10" i="3" l="1"/>
  <c r="L10" i="3"/>
  <c r="H23" i="4" s="1"/>
</calcChain>
</file>

<file path=xl/sharedStrings.xml><?xml version="1.0" encoding="utf-8"?>
<sst xmlns="http://schemas.openxmlformats.org/spreadsheetml/2006/main" count="313" uniqueCount="140">
  <si>
    <t>IDENTIFICATION DE L'ENTREPRISE</t>
  </si>
  <si>
    <t>NOM DE L'ENTREPRISE</t>
  </si>
  <si>
    <t>SECTEUR D'ACTIVITE</t>
  </si>
  <si>
    <t>EXERCICE</t>
  </si>
  <si>
    <t>SIGLE DE L'ENTREPRISE</t>
  </si>
  <si>
    <t>BILAN</t>
  </si>
  <si>
    <t>Actif immobilisé net</t>
  </si>
  <si>
    <t>Stocks</t>
  </si>
  <si>
    <t>Créances clients</t>
  </si>
  <si>
    <t>Trésorerie Actif (disponibilité)</t>
  </si>
  <si>
    <t>Capitaux propres</t>
  </si>
  <si>
    <t>Dettes à moyen et long terme</t>
  </si>
  <si>
    <t>Dettes à court terme</t>
  </si>
  <si>
    <t xml:space="preserve">           Dont Dettes fournisseurs</t>
  </si>
  <si>
    <t>COMPTE DE RESULTAT</t>
  </si>
  <si>
    <t>Vente de marchandises</t>
  </si>
  <si>
    <t>Achat de marchandises</t>
  </si>
  <si>
    <t>Variation de stocks de marchandises</t>
  </si>
  <si>
    <t>Chiffre d'Affaire</t>
  </si>
  <si>
    <t>Valeur ajoutée</t>
  </si>
  <si>
    <t>Excedent brut d'exploitation</t>
  </si>
  <si>
    <t>Reprise d'amortissements , provisions et dépreciations</t>
  </si>
  <si>
    <t>Dotations aux amortissements, aux provisions et dépreciations</t>
  </si>
  <si>
    <t>Resultat d'exploitation</t>
  </si>
  <si>
    <t>Produits de cession d'immobilisations</t>
  </si>
  <si>
    <t>Valeurs comptables des cessions d'immobilisations</t>
  </si>
  <si>
    <t>Resultat Net</t>
  </si>
  <si>
    <t>Resultat Financier</t>
  </si>
  <si>
    <t>Resultat HAO</t>
  </si>
  <si>
    <t>Taux d'usure</t>
  </si>
  <si>
    <t xml:space="preserve">      Dont Immobilisations corporelles</t>
  </si>
  <si>
    <t>Quotes parts de subventions</t>
  </si>
  <si>
    <t>Marge Commerciale</t>
  </si>
  <si>
    <t>Total Actif</t>
  </si>
  <si>
    <t>Total Passsif</t>
  </si>
  <si>
    <t>AA</t>
  </si>
  <si>
    <t>AB</t>
  </si>
  <si>
    <t>AC</t>
  </si>
  <si>
    <t>AD</t>
  </si>
  <si>
    <t>BA</t>
  </si>
  <si>
    <t>BAA</t>
  </si>
  <si>
    <t>BB</t>
  </si>
  <si>
    <t>BC</t>
  </si>
  <si>
    <t>BD</t>
  </si>
  <si>
    <t>BE</t>
  </si>
  <si>
    <t>BF</t>
  </si>
  <si>
    <t>BG</t>
  </si>
  <si>
    <t>BH</t>
  </si>
  <si>
    <t>BHA</t>
  </si>
  <si>
    <t>BI</t>
  </si>
  <si>
    <t>CA</t>
  </si>
  <si>
    <t>CB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</si>
  <si>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</si>
  <si>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</si>
  <si>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</si>
  <si>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</si>
  <si>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</si>
  <si>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</si>
  <si>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</si>
  <si>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</si>
  <si>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</si>
  <si>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</si>
  <si>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</si>
  <si>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</si>
  <si>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</si>
  <si>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</si>
  <si>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DA</t>
  </si>
  <si>
    <t>ENREGISTRER</t>
  </si>
  <si>
    <t>ANNULER</t>
  </si>
  <si>
    <t>ABM</t>
  </si>
  <si>
    <t>Total général</t>
  </si>
  <si>
    <t>Étiquettes de lignes</t>
  </si>
  <si>
    <t>Equilibre financier</t>
  </si>
  <si>
    <t xml:space="preserve">Fonds de Roulement (FR) </t>
  </si>
  <si>
    <t>Besoin en fonds de roulement (BFR)</t>
  </si>
  <si>
    <t>Trésorerie</t>
  </si>
  <si>
    <t>Ratio d'Autonomie financière</t>
  </si>
  <si>
    <t>Financement des immobilisations</t>
  </si>
  <si>
    <t>Equilibre financier des investissements</t>
  </si>
  <si>
    <t>Endettement</t>
  </si>
  <si>
    <t>Capacité de remboursement</t>
  </si>
  <si>
    <t>Valeur</t>
  </si>
  <si>
    <t>Activité</t>
  </si>
  <si>
    <t>Valeur ajoutée (VA)</t>
  </si>
  <si>
    <t>Excédent Brut d’Exploitation (EBE)</t>
  </si>
  <si>
    <t>Résultat d'exploitation</t>
  </si>
  <si>
    <t>Résultat financier</t>
  </si>
  <si>
    <t>Résultat Hors Activité Ordinaires (RHAO)</t>
  </si>
  <si>
    <t>Résultat Net (RN)</t>
  </si>
  <si>
    <t>Délai de paiement client</t>
  </si>
  <si>
    <t>Délai de paiement fournisseurs</t>
  </si>
  <si>
    <t>Ratio de rentabilité de l'activité</t>
  </si>
  <si>
    <t>Ratio de rentabilité économique</t>
  </si>
  <si>
    <t>Ratio de rentabilité financière</t>
  </si>
  <si>
    <t>Ratio de rentabilité des capitaux propres</t>
  </si>
  <si>
    <t>Rentabilité</t>
  </si>
  <si>
    <t>Liquidité et solvabilité</t>
  </si>
  <si>
    <t>Ratio de liquidité générale</t>
  </si>
  <si>
    <t>Ratio de liquidité immédiate</t>
  </si>
  <si>
    <t>Structure</t>
  </si>
  <si>
    <t>Taux d'usure ou de vétusté</t>
  </si>
  <si>
    <t>Intensité capitalistique</t>
  </si>
  <si>
    <t>Chiffre d'affaire</t>
  </si>
  <si>
    <t>INDUSTRIE</t>
  </si>
  <si>
    <t>TABLEAU DE BORD DE GESTION DE PORTEFEUILLE DE L'ETAT</t>
  </si>
  <si>
    <t>Résulat Net</t>
  </si>
  <si>
    <t>ENTREPRISE</t>
  </si>
  <si>
    <t>Chiffre d'affaire par secteur</t>
  </si>
  <si>
    <t>Valeur ajoutée par secteur</t>
  </si>
  <si>
    <t xml:space="preserve">CHIFFRE D'AFFAIRE PAR SECTEUR </t>
  </si>
  <si>
    <t>VALEUR AJOUTEE PAR SECTEUR</t>
  </si>
  <si>
    <t>RESULTAT NET PAR SECTEUR</t>
  </si>
  <si>
    <t>Rn_secteur</t>
  </si>
  <si>
    <t>Chiffre d'affaire global=</t>
  </si>
  <si>
    <t>RN global=</t>
  </si>
  <si>
    <t>VA globale=</t>
  </si>
  <si>
    <t>Nb d'entreprise</t>
  </si>
  <si>
    <t>nb d'entreprise=</t>
  </si>
  <si>
    <t>ACTUALISER</t>
  </si>
  <si>
    <t>AGRICULTURE</t>
  </si>
  <si>
    <t>TRANSPORT</t>
  </si>
  <si>
    <t>SOTRA</t>
  </si>
  <si>
    <t>BONY VOYAGE</t>
  </si>
  <si>
    <t>BNV</t>
  </si>
  <si>
    <t>OCEAN DU NORD</t>
  </si>
  <si>
    <t>ON</t>
  </si>
  <si>
    <t>STELLIMAC</t>
  </si>
  <si>
    <t>SC</t>
  </si>
  <si>
    <t>TOTAL ENERGY</t>
  </si>
  <si>
    <t>TL</t>
  </si>
  <si>
    <t>SNPC</t>
  </si>
  <si>
    <t>X-OIL</t>
  </si>
  <si>
    <t>XL</t>
  </si>
  <si>
    <t>ZAZA</t>
  </si>
  <si>
    <t>ZA</t>
  </si>
  <si>
    <t>MANIOC</t>
  </si>
  <si>
    <t>MAN</t>
  </si>
  <si>
    <t>CACAO</t>
  </si>
  <si>
    <t>CAO</t>
  </si>
  <si>
    <t>MAB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</si>
</sst>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0"/>
      <name val="Arial Narrow"/>
    </font>
    <font>
      <b/>
      <sz val="10"/>
      <color theme="0"/>
      <name val="Arial Narrow"/>
    </font>
    <font>
      <sz val="11"/>
      <color theme="1"/>
      <name val="Calibri"/>
      <family val="2"/>
      <scheme val="minor"/>
    </font>
    <font>
      <sz val="18"/>
      <color theme="5"/>
      <name val="Georgia"/>
      <family val="1"/>
    </font>
    <font>
      <b/>
      <sz val="11"/>
      <color theme="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5" tint="-0.25098422193060094"/>
        </stop>
        <stop position="1">
          <color rgb="FFFFC000"/>
        </stop>
      </gradientFill>
    </fill>
    <fill>
      <patternFill patternType="solid">
        <fgColor theme="5" tint="0.5999633777886288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5"/>
        </stop>
        <stop position="1">
          <color theme="5" tint="0.59999389629810485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</fills>
  <borders count="28">
    <border>
      <left/>
      <right/>
      <top/>
      <bottom/>
      <diagonal/>
    </border>
    <border>
      <left/>
      <right style="dotted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5" tint="-0.24994659260841701"/>
      </top>
      <bottom style="thin">
        <color theme="5" tint="-0.24994659260841701"/>
      </bottom>
      <diagonal/>
    </border>
    <border>
      <left style="dotted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dashed">
        <color theme="7"/>
      </left>
      <right/>
      <top style="dashed">
        <color theme="7"/>
      </top>
      <bottom style="dashed">
        <color theme="7"/>
      </bottom>
      <diagonal/>
    </border>
    <border>
      <left/>
      <right/>
      <top style="dashed">
        <color theme="7"/>
      </top>
      <bottom style="dashed">
        <color theme="7"/>
      </bottom>
      <diagonal/>
    </border>
    <border>
      <left/>
      <right style="dashed">
        <color theme="7"/>
      </right>
      <top style="dashed">
        <color theme="7"/>
      </top>
      <bottom style="dashed">
        <color theme="7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5" tint="-0.24994659260841701"/>
      </left>
      <right/>
      <top style="medium">
        <color theme="5" tint="-0.24994659260841701"/>
      </top>
      <bottom/>
      <diagonal/>
    </border>
    <border>
      <left/>
      <right/>
      <top style="medium">
        <color theme="5" tint="-0.24994659260841701"/>
      </top>
      <bottom/>
      <diagonal/>
    </border>
    <border>
      <left/>
      <right style="medium">
        <color theme="5" tint="-0.24994659260841701"/>
      </right>
      <top style="medium">
        <color theme="5" tint="-0.24994659260841701"/>
      </top>
      <bottom/>
      <diagonal/>
    </border>
    <border>
      <left style="medium">
        <color theme="5" tint="-0.24994659260841701"/>
      </left>
      <right/>
      <top/>
      <bottom/>
      <diagonal/>
    </border>
    <border>
      <left/>
      <right style="medium">
        <color theme="5" tint="-0.24994659260841701"/>
      </right>
      <top/>
      <bottom/>
      <diagonal/>
    </border>
    <border>
      <left style="medium">
        <color theme="5" tint="-0.24994659260841701"/>
      </left>
      <right/>
      <top/>
      <bottom style="medium">
        <color theme="5" tint="-0.24994659260841701"/>
      </bottom>
      <diagonal/>
    </border>
    <border>
      <left/>
      <right/>
      <top/>
      <bottom style="medium">
        <color theme="5" tint="-0.24994659260841701"/>
      </bottom>
      <diagonal/>
    </border>
    <border>
      <left/>
      <right style="medium">
        <color theme="5" tint="-0.24994659260841701"/>
      </right>
      <top/>
      <bottom style="medium">
        <color theme="5" tint="-0.24994659260841701"/>
      </bottom>
      <diagonal/>
    </border>
    <border>
      <left style="dashed">
        <color theme="5" tint="-0.24994659260841701"/>
      </left>
      <right style="dashed">
        <color theme="5" tint="-0.24994659260841701"/>
      </right>
      <top/>
      <bottom/>
      <diagonal/>
    </border>
    <border>
      <left/>
      <right/>
      <top/>
      <bottom style="thick">
        <color theme="5" tint="-0.499984740745262"/>
      </bottom>
      <diagonal/>
    </border>
    <border>
      <left style="mediumDashed">
        <color theme="5"/>
      </left>
      <right/>
      <top style="mediumDashed">
        <color theme="5"/>
      </top>
      <bottom style="mediumDashed">
        <color theme="5"/>
      </bottom>
      <diagonal/>
    </border>
    <border>
      <left/>
      <right/>
      <top style="mediumDashed">
        <color theme="5"/>
      </top>
      <bottom style="mediumDashed">
        <color theme="5"/>
      </bottom>
      <diagonal/>
    </border>
    <border>
      <left/>
      <right style="mediumDashed">
        <color theme="5"/>
      </right>
      <top style="mediumDashed">
        <color theme="5"/>
      </top>
      <bottom style="mediumDashed">
        <color theme="5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/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49">
    <xf numFmtId="0" fontId="0" fillId="0" borderId="0" xfId="0"/>
    <xf numFmtId="0" fontId="0" fillId="3" borderId="0" xfId="0" applyFill="1"/>
    <xf numFmtId="0" fontId="1" fillId="2" borderId="0" xfId="0" applyFont="1" applyFill="1"/>
    <xf numFmtId="0" fontId="2" fillId="4" borderId="0" xfId="0" applyFont="1" applyFill="1"/>
    <xf numFmtId="0" fontId="3" fillId="4" borderId="0" xfId="0" applyFont="1" applyFill="1"/>
    <xf numFmtId="0" fontId="1" fillId="5" borderId="2" xfId="0" applyFont="1" applyFill="1" applyBorder="1"/>
    <xf numFmtId="0" fontId="1" fillId="5" borderId="1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1" fillId="6" borderId="5" xfId="0" applyFont="1" applyFill="1" applyBorder="1"/>
    <xf numFmtId="0" fontId="1" fillId="6" borderId="6" xfId="0" applyFont="1" applyFill="1" applyBorder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6" borderId="8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13" xfId="0" applyFont="1" applyFill="1" applyBorder="1"/>
    <xf numFmtId="0" fontId="1" fillId="6" borderId="14" xfId="0" applyFont="1" applyFill="1" applyBorder="1"/>
    <xf numFmtId="0" fontId="1" fillId="6" borderId="15" xfId="0" applyFont="1" applyFill="1" applyBorder="1"/>
    <xf numFmtId="0" fontId="4" fillId="7" borderId="7" xfId="0" applyFont="1" applyFill="1" applyBorder="1" applyAlignment="1">
      <alignment horizontal="center" vertical="center"/>
    </xf>
    <xf numFmtId="0" fontId="0" fillId="6" borderId="16" xfId="0" applyFill="1" applyBorder="1"/>
    <xf numFmtId="0" fontId="0" fillId="3" borderId="0" xfId="0" applyFill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9" fontId="1" fillId="6" borderId="3" xfId="1" applyFont="1" applyFill="1" applyBorder="1"/>
    <xf numFmtId="0" fontId="0" fillId="2" borderId="0" xfId="0" applyFill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8" fillId="6" borderId="19" xfId="0" applyFont="1" applyFill="1" applyBorder="1" applyAlignment="1">
      <alignment horizontal="left" vertical="center"/>
    </xf>
    <xf numFmtId="0" fontId="0" fillId="6" borderId="21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9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0" fillId="8" borderId="0" xfId="0" applyFill="1" applyAlignment="1">
      <alignment horizontal="right"/>
    </xf>
    <xf numFmtId="0" fontId="0" fillId="8" borderId="0" xfId="0" applyFill="1"/>
    <xf numFmtId="0" fontId="3" fillId="4" borderId="0" xfId="0" applyFont="1" applyFill="1" applyAlignment="1">
      <alignment horizontal="right"/>
    </xf>
    <xf numFmtId="0" fontId="1" fillId="6" borderId="27" xfId="0" applyFont="1" applyFill="1" applyBorder="1" applyAlignment="1">
      <alignment horizontal="right"/>
    </xf>
    <xf numFmtId="0" fontId="0" fillId="9" borderId="16" xfId="0" applyFill="1" applyBorder="1"/>
    <xf numFmtId="0" fontId="0" fillId="0" borderId="0" xfId="0" applyNumberFormat="1"/>
  </cellXfs>
  <cellStyles count="2">
    <cellStyle name="Normal" xfId="0" builtinId="0"/>
    <cellStyle name="Pourcentage" xfId="1" builtinId="5"/>
  </cellStyles>
  <dxfs count="35"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dashed">
          <color theme="5" tint="-0.24994659260841701"/>
        </left>
        <right style="dashed">
          <color theme="5" tint="-0.24994659260841701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</dxf>
    <dxf>
      <border outline="0">
        <bottom style="thick">
          <color theme="5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scheme val="none"/>
      </font>
      <fill>
        <gradientFill degree="270">
          <stop position="0">
            <color theme="5" tint="-0.25098422193060094"/>
          </stop>
          <stop position="1">
            <color rgb="FFFFC000"/>
          </stop>
        </gradient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[Projet_Excel_vba.xlsm]Analyse!TCD_CA_VA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Dynamique</a:t>
            </a:r>
            <a:r>
              <a:rPr lang="fr-FR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Temporelle</a:t>
            </a:r>
            <a:endParaRPr lang="fr-FR" b="1">
              <a:solidFill>
                <a:schemeClr val="accent2"/>
              </a:solidFill>
              <a:latin typeface="Gill Sans Ultra Bold" panose="020B0A02020104020203" pitchFamily="34" charset="0"/>
            </a:endParaRPr>
          </a:p>
        </c:rich>
      </c:tx>
      <c:layout>
        <c:manualLayout>
          <c:xMode val="edge"/>
          <c:yMode val="edge"/>
          <c:x val="1.4187990562190229E-2"/>
          <c:y val="2.7777777777777776E-2"/>
        </c:manualLayout>
      </c:layout>
      <c:overlay val="0"/>
      <c:spPr>
        <a:solidFill>
          <a:schemeClr val="accent2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Analyse!$B$11</c:f>
              <c:strCache>
                <c:ptCount val="1"/>
                <c:pt idx="0">
                  <c:v>Chiffre d'Affaire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Analyse!$A$12:$A$15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Analyse!$B$12:$B$15</c:f>
              <c:numCache>
                <c:formatCode>General</c:formatCode>
                <c:ptCount val="3"/>
                <c:pt idx="0">
                  <c:v>12308638</c:v>
                </c:pt>
                <c:pt idx="1">
                  <c:v>12682535</c:v>
                </c:pt>
                <c:pt idx="2">
                  <c:v>10460636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D-44A3-BD96-2E9E44146D19}"/>
            </c:ext>
          </c:extLst>
        </c:ser>
        <c:ser>
          <c:idx val="1"/>
          <c:order val="1"/>
          <c:tx>
            <c:strRef>
              <c:f>Analyse!$C$11</c:f>
              <c:strCache>
                <c:ptCount val="1"/>
                <c:pt idx="0">
                  <c:v>Valeur ajoutée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Analyse!$A$12:$A$15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Analyse!$C$12:$C$15</c:f>
              <c:numCache>
                <c:formatCode>General</c:formatCode>
                <c:ptCount val="3"/>
                <c:pt idx="0">
                  <c:v>5215982</c:v>
                </c:pt>
                <c:pt idx="1">
                  <c:v>11097004</c:v>
                </c:pt>
                <c:pt idx="2">
                  <c:v>11437642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FD-44A3-BD96-2E9E44146D19}"/>
            </c:ext>
          </c:extLst>
        </c:ser>
        <c:ser>
          <c:idx val="2"/>
          <c:order val="2"/>
          <c:tx>
            <c:strRef>
              <c:f>Analyse!$D$11</c:f>
              <c:strCache>
                <c:ptCount val="1"/>
                <c:pt idx="0">
                  <c:v>Résulat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Analyse!$A$12:$A$15</c:f>
              <c:strCach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strCache>
            </c:strRef>
          </c:cat>
          <c:val>
            <c:numRef>
              <c:f>Analyse!$D$12:$D$15</c:f>
              <c:numCache>
                <c:formatCode>General</c:formatCode>
                <c:ptCount val="3"/>
                <c:pt idx="0">
                  <c:v>15183598224</c:v>
                </c:pt>
                <c:pt idx="1">
                  <c:v>15345793209</c:v>
                </c:pt>
                <c:pt idx="2">
                  <c:v>20524542517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FD-44A3-BD96-2E9E44146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110624"/>
        <c:axId val="284930928"/>
      </c:barChart>
      <c:catAx>
        <c:axId val="28111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4930928"/>
        <c:crosses val="autoZero"/>
        <c:auto val="1"/>
        <c:lblAlgn val="ctr"/>
        <c:lblOffset val="100"/>
        <c:noMultiLvlLbl val="0"/>
      </c:catAx>
      <c:valAx>
        <c:axId val="284930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111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[Projet_Excel_vba.xlsm]Analyse!CA_secteur</c:name>
    <c:fmtId val="3"/>
  </c:pivotSource>
  <c:chart>
    <c:title>
      <c:tx>
        <c:strRef>
          <c:f>Analyse!$AI$9</c:f>
          <c:strCache>
            <c:ptCount val="1"/>
            <c:pt idx="0">
              <c:v>En 2020</c:v>
            </c:pt>
          </c:strCache>
        </c:strRef>
      </c:tx>
      <c:layout>
        <c:manualLayout>
          <c:xMode val="edge"/>
          <c:yMode val="edge"/>
          <c:x val="3.4216290927186845E-2"/>
          <c:y val="1.5220700152207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abic Typesetting" panose="03020402040406030203" pitchFamily="66" charset="-78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511660636042327"/>
          <c:y val="1.1560013331666877E-2"/>
          <c:w val="0.78976629384057417"/>
          <c:h val="0.78349789609632126"/>
        </c:manualLayout>
      </c:layout>
      <c:pieChart>
        <c:varyColors val="1"/>
        <c:ser>
          <c:idx val="0"/>
          <c:order val="0"/>
          <c:tx>
            <c:strRef>
              <c:f>Analyse!$AI$9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71-45AD-B600-9B3545F151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C0D-46BB-B8FC-7E98102E30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C0D-46BB-B8FC-7E98102E30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71-45AD-B600-9B3545F1516D}"/>
              </c:ext>
            </c:extLst>
          </c:dPt>
          <c:cat>
            <c:strRef>
              <c:f>Analyse!$AI$9</c:f>
              <c:strCache>
                <c:ptCount val="3"/>
                <c:pt idx="0">
                  <c:v>INDUSTRIE</c:v>
                </c:pt>
                <c:pt idx="1">
                  <c:v>TRANSPORT</c:v>
                </c:pt>
                <c:pt idx="2">
                  <c:v>AGRICULTURE</c:v>
                </c:pt>
              </c:strCache>
            </c:strRef>
          </c:cat>
          <c:val>
            <c:numRef>
              <c:f>Analyse!$AI$9</c:f>
              <c:numCache>
                <c:formatCode>General</c:formatCode>
                <c:ptCount val="3"/>
                <c:pt idx="0">
                  <c:v>33633133643</c:v>
                </c:pt>
                <c:pt idx="1">
                  <c:v>68055759219</c:v>
                </c:pt>
                <c:pt idx="2">
                  <c:v>73249629240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71-45AD-B600-9B3545F15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454083177996421E-2"/>
          <c:y val="0.74006842894638181"/>
          <c:w val="0.95642464904181035"/>
          <c:h val="0.24733835353914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[Projet_Excel_vba.xlsm]Analyse!VA_secteur</c:name>
    <c:fmtId val="2"/>
  </c:pivotSource>
  <c:chart>
    <c:title>
      <c:tx>
        <c:strRef>
          <c:f>Analyse!$AI$9</c:f>
          <c:strCache>
            <c:ptCount val="1"/>
            <c:pt idx="0">
              <c:v>En 2020</c:v>
            </c:pt>
          </c:strCache>
        </c:strRef>
      </c:tx>
      <c:layout>
        <c:manualLayout>
          <c:xMode val="edge"/>
          <c:yMode val="edge"/>
          <c:x val="2.6649168853893259E-2"/>
          <c:y val="3.8850038850038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abic Typesetting" panose="03020402040406030203" pitchFamily="66" charset="-78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623312348705355"/>
          <c:y val="4.1851197171782088E-2"/>
          <c:w val="0.74836709775103771"/>
          <c:h val="0.73309389897691357"/>
        </c:manualLayout>
      </c:layout>
      <c:pieChart>
        <c:varyColors val="1"/>
        <c:ser>
          <c:idx val="0"/>
          <c:order val="0"/>
          <c:tx>
            <c:strRef>
              <c:f>Analyse!$AI$9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C5-42AD-90F4-E87D3266C8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C5-42AD-90F4-E87D3266C8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C5-42AD-90F4-E87D3266C82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C5-42AD-90F4-E87D3266C82F}"/>
              </c:ext>
            </c:extLst>
          </c:dPt>
          <c:cat>
            <c:strRef>
              <c:f>Analyse!$AI$9</c:f>
              <c:strCache>
                <c:ptCount val="3"/>
                <c:pt idx="0">
                  <c:v>INDUSTRIE</c:v>
                </c:pt>
                <c:pt idx="1">
                  <c:v>TRANSPORT</c:v>
                </c:pt>
                <c:pt idx="2">
                  <c:v>AGRICULTURE</c:v>
                </c:pt>
              </c:strCache>
            </c:strRef>
          </c:cat>
          <c:val>
            <c:numRef>
              <c:f>Analyse!$AI$9</c:f>
              <c:numCache>
                <c:formatCode>General</c:formatCode>
                <c:ptCount val="3"/>
                <c:pt idx="0">
                  <c:v>38456528</c:v>
                </c:pt>
                <c:pt idx="1">
                  <c:v>50115483</c:v>
                </c:pt>
                <c:pt idx="2">
                  <c:v>49359466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C5-42AD-90F4-E87D3266C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8068678915135621E-3"/>
          <c:y val="0.74164540621233532"/>
          <c:w val="0.97544181977252842"/>
          <c:h val="0.2583545937876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[Projet_Excel_vba.xlsm]Analyse!rn_secteur</c:name>
    <c:fmtId val="6"/>
  </c:pivotSource>
  <c:chart>
    <c:title>
      <c:tx>
        <c:strRef>
          <c:f>Analyse!$AI$9</c:f>
          <c:strCache>
            <c:ptCount val="1"/>
            <c:pt idx="0">
              <c:v>En 2020</c:v>
            </c:pt>
          </c:strCache>
        </c:strRef>
      </c:tx>
      <c:layout>
        <c:manualLayout>
          <c:xMode val="edge"/>
          <c:yMode val="edge"/>
          <c:x val="2.8066977738893724E-2"/>
          <c:y val="3.20512820512820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abic Typesetting" panose="03020402040406030203" pitchFamily="66" charset="-78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866753763402892"/>
          <c:y val="5.1190960284893956E-2"/>
          <c:w val="0.76144145098454619"/>
          <c:h val="0.79718987591339818"/>
        </c:manualLayout>
      </c:layout>
      <c:pieChart>
        <c:varyColors val="1"/>
        <c:ser>
          <c:idx val="0"/>
          <c:order val="0"/>
          <c:tx>
            <c:strRef>
              <c:f>Analyse!$AI$9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D7-4E3B-838E-DBD70EC675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70C-4302-ABDE-A84F3CB5D4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0-4315-B333-F44CE40F7312}"/>
              </c:ext>
            </c:extLst>
          </c:dPt>
          <c:cat>
            <c:strRef>
              <c:f>Analyse!$AI$9</c:f>
              <c:strCache>
                <c:ptCount val="3"/>
                <c:pt idx="0">
                  <c:v>INDUSTRIE</c:v>
                </c:pt>
                <c:pt idx="1">
                  <c:v>TRANSPORT</c:v>
                </c:pt>
                <c:pt idx="2">
                  <c:v>AGRICULTURE</c:v>
                </c:pt>
              </c:strCache>
            </c:strRef>
          </c:cat>
          <c:val>
            <c:numRef>
              <c:f>Analyse!$AI$9</c:f>
              <c:numCache>
                <c:formatCode>General</c:formatCode>
                <c:ptCount val="3"/>
                <c:pt idx="0">
                  <c:v>25156040</c:v>
                </c:pt>
                <c:pt idx="1">
                  <c:v>30851436</c:v>
                </c:pt>
                <c:pt idx="2">
                  <c:v>30687497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D7-4E3B-838E-DBD70EC67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150183020844372E-2"/>
          <c:y val="0.78775153105861773"/>
          <c:w val="0.94717347551287034"/>
          <c:h val="0.16530011213387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318135</xdr:colOff>
      <xdr:row>3</xdr:row>
      <xdr:rowOff>179070</xdr:rowOff>
    </xdr:from>
    <xdr:to>
      <xdr:col>16</xdr:col>
      <xdr:colOff>1333500</xdr:colOff>
      <xdr:row>5</xdr:row>
      <xdr:rowOff>81915</xdr:rowOff>
    </xdr:to>
    <xdr:sp macro="[0]!actualis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825335" y="721995"/>
          <a:ext cx="1015365" cy="2647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617220</xdr:colOff>
      <xdr:row>4</xdr:row>
      <xdr:rowOff>0</xdr:rowOff>
    </xdr:from>
    <xdr:to>
      <xdr:col>9</xdr:col>
      <xdr:colOff>419100</xdr:colOff>
      <xdr:row>7</xdr:row>
      <xdr:rowOff>175260</xdr:rowOff>
    </xdr:to>
    <xdr:grpSp>
      <xdr:nvGrpSpPr>
        <xdr:cNvPr id="50" name="Group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pSpPr/>
      </xdr:nvGrpSpPr>
      <xdr:grpSpPr>
        <a:xfrm>
          <a:off x="3169920" y="998220"/>
          <a:ext cx="2034540" cy="723900"/>
          <a:chOff x="3169920" y="998220"/>
          <a:chExt cx="2034540" cy="723900"/>
        </a:xfrm>
      </xdr:grpSpPr>
      <xdr:sp macro="" textlink="">
        <xdr:nvSpPr>
          <xdr:cNvPr id="15" name="Rectangle à coins arrondis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169920" y="998220"/>
            <a:ext cx="2034540" cy="723900"/>
          </a:xfrm>
          <a:prstGeom prst="roundRect">
            <a:avLst/>
          </a:prstGeom>
          <a:ln>
            <a:solidFill>
              <a:schemeClr val="accent2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3672840" y="1021080"/>
            <a:ext cx="1455420" cy="182880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200" b="1">
                <a:solidFill>
                  <a:schemeClr val="accent2"/>
                </a:solidFill>
                <a:latin typeface="Agency FB" panose="020B0503020202020204" pitchFamily="34" charset="0"/>
              </a:rPr>
              <a:t>Chiffre</a:t>
            </a:r>
            <a:r>
              <a:rPr lang="fr-FR" sz="1200" b="1" baseline="0">
                <a:solidFill>
                  <a:schemeClr val="accent2"/>
                </a:solidFill>
                <a:latin typeface="Agency FB" panose="020B0503020202020204" pitchFamily="34" charset="0"/>
              </a:rPr>
              <a:t> d'affaire global</a:t>
            </a:r>
            <a:endParaRPr lang="fr-FR" sz="1200" b="1">
              <a:solidFill>
                <a:schemeClr val="accent2"/>
              </a:solidFill>
              <a:latin typeface="Agency FB" panose="020B0503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3604260" y="1089660"/>
            <a:ext cx="45719" cy="58674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Analyse!G9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 txBox="1"/>
        </xdr:nvSpPr>
        <xdr:spPr>
          <a:xfrm>
            <a:off x="3680460" y="1219200"/>
            <a:ext cx="1424940" cy="464820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7E71312-29E5-431C-AECE-E1DF84622EDE}" type="TxLink">
              <a:rPr lang="en-US" sz="1100" b="0" i="0" u="none" strike="noStrike">
                <a:solidFill>
                  <a:srgbClr val="000000"/>
                </a:solidFill>
                <a:latin typeface="Franklin Gothic Heavy" panose="020B0903020102020204" pitchFamily="34" charset="0"/>
                <a:cs typeface="Calibri"/>
              </a:rPr>
              <a:pPr algn="ctr"/>
              <a:t>1,74939E+11</a:t>
            </a:fld>
            <a:endParaRPr lang="en-US">
              <a:latin typeface="Franklin Gothic Heavy" panose="020B0903020102020204" pitchFamily="34" charset="0"/>
            </a:endParaRPr>
          </a:p>
        </xdr:txBody>
      </xdr:sp>
    </xdr:grpSp>
    <xdr:clientData/>
  </xdr:twoCellAnchor>
  <xdr:twoCellAnchor editAs="absolute">
    <xdr:from>
      <xdr:col>14</xdr:col>
      <xdr:colOff>266700</xdr:colOff>
      <xdr:row>4</xdr:row>
      <xdr:rowOff>0</xdr:rowOff>
    </xdr:from>
    <xdr:to>
      <xdr:col>17</xdr:col>
      <xdr:colOff>586740</xdr:colOff>
      <xdr:row>7</xdr:row>
      <xdr:rowOff>175260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GrpSpPr/>
      </xdr:nvGrpSpPr>
      <xdr:grpSpPr>
        <a:xfrm>
          <a:off x="7924800" y="998220"/>
          <a:ext cx="2034540" cy="723900"/>
          <a:chOff x="7924800" y="998220"/>
          <a:chExt cx="2034540" cy="723900"/>
        </a:xfrm>
      </xdr:grpSpPr>
      <xdr:sp macro="" textlink="">
        <xdr:nvSpPr>
          <xdr:cNvPr id="31" name="Rectangle à coins arrondis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/>
        </xdr:nvSpPr>
        <xdr:spPr>
          <a:xfrm>
            <a:off x="7924800" y="998220"/>
            <a:ext cx="2034540" cy="723900"/>
          </a:xfrm>
          <a:prstGeom prst="roundRect">
            <a:avLst/>
          </a:prstGeom>
          <a:ln>
            <a:solidFill>
              <a:schemeClr val="accent2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8557260" y="1021080"/>
            <a:ext cx="1325880" cy="190500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200" b="1">
                <a:solidFill>
                  <a:schemeClr val="accent2"/>
                </a:solidFill>
                <a:latin typeface="Agency FB" panose="020B0503020202020204" pitchFamily="34" charset="0"/>
              </a:rPr>
              <a:t>Résultat</a:t>
            </a:r>
            <a:r>
              <a:rPr lang="fr-FR" sz="1200" b="1" baseline="0">
                <a:solidFill>
                  <a:schemeClr val="accent2"/>
                </a:solidFill>
                <a:latin typeface="Agency FB" panose="020B0503020202020204" pitchFamily="34" charset="0"/>
              </a:rPr>
              <a:t> net global</a:t>
            </a:r>
            <a:endParaRPr lang="fr-FR" sz="1200" b="1">
              <a:solidFill>
                <a:schemeClr val="accent2"/>
              </a:solidFill>
              <a:latin typeface="Agency FB" panose="020B0503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/>
        </xdr:nvSpPr>
        <xdr:spPr>
          <a:xfrm>
            <a:off x="8359140" y="1089660"/>
            <a:ext cx="45719" cy="58674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Analyse!J9">
        <xdr:nvSpPr>
          <xdr:cNvPr id="34" name="ZoneTexte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8458200" y="1226820"/>
            <a:ext cx="1424940" cy="464820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249AC1C-E613-40D2-9DE6-3F951815AD14}" type="TxLink">
              <a:rPr lang="en-US" sz="1100" b="0" i="0" u="none" strike="noStrike">
                <a:solidFill>
                  <a:srgbClr val="000000"/>
                </a:solidFill>
                <a:latin typeface="Franklin Gothic Heavy" panose="020B0903020102020204" pitchFamily="34" charset="0"/>
                <a:cs typeface="Calibri"/>
              </a:rPr>
              <a:pPr algn="ctr"/>
              <a:t>86694973</a:t>
            </a:fld>
            <a:endParaRPr lang="fr-FR" sz="1400" b="1">
              <a:solidFill>
                <a:schemeClr val="tx1"/>
              </a:solidFill>
              <a:latin typeface="Franklin Gothic Heavy" panose="020B0903020102020204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 editAs="absolute">
    <xdr:from>
      <xdr:col>9</xdr:col>
      <xdr:colOff>762000</xdr:colOff>
      <xdr:row>4</xdr:row>
      <xdr:rowOff>0</xdr:rowOff>
    </xdr:from>
    <xdr:to>
      <xdr:col>13</xdr:col>
      <xdr:colOff>716280</xdr:colOff>
      <xdr:row>7</xdr:row>
      <xdr:rowOff>175260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pSpPr/>
      </xdr:nvGrpSpPr>
      <xdr:grpSpPr>
        <a:xfrm>
          <a:off x="5547360" y="998220"/>
          <a:ext cx="2034540" cy="723900"/>
          <a:chOff x="5547360" y="998220"/>
          <a:chExt cx="2034540" cy="723900"/>
        </a:xfrm>
      </xdr:grpSpPr>
      <xdr:sp macro="" textlink="">
        <xdr:nvSpPr>
          <xdr:cNvPr id="35" name="Rectangle à coins arrondis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/>
        </xdr:nvSpPr>
        <xdr:spPr>
          <a:xfrm>
            <a:off x="5547360" y="998220"/>
            <a:ext cx="2034540" cy="723900"/>
          </a:xfrm>
          <a:prstGeom prst="roundRect">
            <a:avLst/>
          </a:prstGeom>
          <a:ln>
            <a:solidFill>
              <a:schemeClr val="accent2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6" name="ZoneTexte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 txBox="1"/>
        </xdr:nvSpPr>
        <xdr:spPr>
          <a:xfrm>
            <a:off x="6080760" y="1036320"/>
            <a:ext cx="1424940" cy="175260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200" b="1">
                <a:solidFill>
                  <a:schemeClr val="accent2"/>
                </a:solidFill>
                <a:latin typeface="Agency FB" panose="020B0503020202020204" pitchFamily="34" charset="0"/>
              </a:rPr>
              <a:t>Valeur</a:t>
            </a:r>
            <a:r>
              <a:rPr lang="fr-FR" sz="1200" b="1" baseline="0">
                <a:solidFill>
                  <a:schemeClr val="accent2"/>
                </a:solidFill>
                <a:latin typeface="Agency FB" panose="020B0503020202020204" pitchFamily="34" charset="0"/>
              </a:rPr>
              <a:t> ajoutéé globale</a:t>
            </a:r>
            <a:endParaRPr lang="fr-FR" sz="1200" b="1">
              <a:solidFill>
                <a:schemeClr val="accent2"/>
              </a:solidFill>
              <a:latin typeface="Agency FB" panose="020B0503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5981700" y="1089660"/>
            <a:ext cx="45719" cy="58674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Analyse!AG9">
        <xdr:nvSpPr>
          <xdr:cNvPr id="38" name="ZoneTexte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SpPr txBox="1"/>
        </xdr:nvSpPr>
        <xdr:spPr>
          <a:xfrm>
            <a:off x="6080760" y="1226820"/>
            <a:ext cx="1424940" cy="464820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1F4BEA3-FC10-48B2-A936-B761927CECC2}" type="TxLink">
              <a:rPr lang="en-US" sz="1100" b="0" i="0" u="none" strike="noStrike">
                <a:solidFill>
                  <a:srgbClr val="000000"/>
                </a:solidFill>
                <a:latin typeface="Franklin Gothic Heavy" panose="020B0903020102020204" pitchFamily="34" charset="0"/>
                <a:cs typeface="Calibri"/>
              </a:rPr>
              <a:pPr algn="ctr"/>
              <a:t>137931477</a:t>
            </a:fld>
            <a:endParaRPr lang="fr-FR" sz="1400" b="1">
              <a:solidFill>
                <a:schemeClr val="tx1"/>
              </a:solidFill>
              <a:latin typeface="Franklin Gothic Heavy" panose="020B0903020102020204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 editAs="absolute">
    <xdr:from>
      <xdr:col>1</xdr:col>
      <xdr:colOff>0</xdr:colOff>
      <xdr:row>4</xdr:row>
      <xdr:rowOff>0</xdr:rowOff>
    </xdr:from>
    <xdr:to>
      <xdr:col>4</xdr:col>
      <xdr:colOff>274320</xdr:colOff>
      <xdr:row>7</xdr:row>
      <xdr:rowOff>175260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pSpPr/>
      </xdr:nvGrpSpPr>
      <xdr:grpSpPr>
        <a:xfrm>
          <a:off x="792480" y="998220"/>
          <a:ext cx="2034540" cy="723900"/>
          <a:chOff x="792480" y="998220"/>
          <a:chExt cx="2034540" cy="723900"/>
        </a:xfrm>
      </xdr:grpSpPr>
      <xdr:sp macro="" textlink="">
        <xdr:nvSpPr>
          <xdr:cNvPr id="43" name="Rectangle à coins arrondis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792480" y="998220"/>
            <a:ext cx="2034540" cy="723900"/>
          </a:xfrm>
          <a:prstGeom prst="roundRect">
            <a:avLst/>
          </a:prstGeom>
          <a:ln>
            <a:solidFill>
              <a:schemeClr val="accent2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SpPr txBox="1"/>
        </xdr:nvSpPr>
        <xdr:spPr>
          <a:xfrm>
            <a:off x="1424940" y="1021080"/>
            <a:ext cx="1325880" cy="190500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200" b="1">
                <a:solidFill>
                  <a:schemeClr val="accent2"/>
                </a:solidFill>
                <a:latin typeface="Agency FB" panose="020B0503020202020204" pitchFamily="34" charset="0"/>
              </a:rPr>
              <a:t>Nombre d'Entreprises</a:t>
            </a:r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226820" y="1089660"/>
            <a:ext cx="45719" cy="586740"/>
          </a:xfrm>
          <a:prstGeom prst="rect">
            <a:avLst/>
          </a:prstGeom>
          <a:solidFill>
            <a:schemeClr val="accent2"/>
          </a:solidFill>
          <a:ln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Analyse!AO10">
        <xdr:nvSpPr>
          <xdr:cNvPr id="46" name="ZoneText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 txBox="1"/>
        </xdr:nvSpPr>
        <xdr:spPr>
          <a:xfrm>
            <a:off x="1325880" y="1226820"/>
            <a:ext cx="1424940" cy="464820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47E2B4F-FA30-4B41-82FC-F8B790369D59}" type="TxLink">
              <a:rPr lang="en-US" sz="1100" b="1" i="0" u="none" strike="noStrike">
                <a:solidFill>
                  <a:srgbClr val="000000"/>
                </a:solidFill>
                <a:latin typeface="Berlin Sans FB Demi" panose="020E0802020502020306" pitchFamily="34" charset="0"/>
                <a:cs typeface="Calibri"/>
              </a:rPr>
              <a:pPr algn="ctr"/>
              <a:t>12</a:t>
            </a:fld>
            <a:endParaRPr lang="fr-FR" sz="1400" b="1">
              <a:solidFill>
                <a:schemeClr val="tx1"/>
              </a:solidFill>
              <a:latin typeface="Berlin Sans FB Demi" panose="020E0802020502020306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 editAs="oneCell">
    <xdr:from>
      <xdr:col>1</xdr:col>
      <xdr:colOff>7620</xdr:colOff>
      <xdr:row>23</xdr:row>
      <xdr:rowOff>15240</xdr:rowOff>
    </xdr:from>
    <xdr:to>
      <xdr:col>2</xdr:col>
      <xdr:colOff>777240</xdr:colOff>
      <xdr:row>36</xdr:row>
      <xdr:rowOff>40005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ENTREPRISE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EPRI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0100" y="2118360"/>
              <a:ext cx="1562100" cy="24022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7620</xdr:colOff>
      <xdr:row>23</xdr:row>
      <xdr:rowOff>7620</xdr:rowOff>
    </xdr:from>
    <xdr:to>
      <xdr:col>5</xdr:col>
      <xdr:colOff>586740</xdr:colOff>
      <xdr:row>36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EXERCICE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ERCI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60320" y="4503420"/>
              <a:ext cx="1371600" cy="23698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0</xdr:colOff>
      <xdr:row>23</xdr:row>
      <xdr:rowOff>0</xdr:rowOff>
    </xdr:from>
    <xdr:to>
      <xdr:col>14</xdr:col>
      <xdr:colOff>777240</xdr:colOff>
      <xdr:row>34</xdr:row>
      <xdr:rowOff>144780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</xdr:colOff>
      <xdr:row>10</xdr:row>
      <xdr:rowOff>0</xdr:rowOff>
    </xdr:from>
    <xdr:to>
      <xdr:col>7</xdr:col>
      <xdr:colOff>167640</xdr:colOff>
      <xdr:row>20</xdr:row>
      <xdr:rowOff>91440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</xdr:colOff>
      <xdr:row>10</xdr:row>
      <xdr:rowOff>0</xdr:rowOff>
    </xdr:from>
    <xdr:to>
      <xdr:col>12</xdr:col>
      <xdr:colOff>0</xdr:colOff>
      <xdr:row>20</xdr:row>
      <xdr:rowOff>60960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784860</xdr:colOff>
      <xdr:row>20</xdr:row>
      <xdr:rowOff>175260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AD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" y="2103120"/>
              <a:ext cx="1577340" cy="2004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9</xdr:row>
      <xdr:rowOff>167640</xdr:rowOff>
    </xdr:from>
    <xdr:to>
      <xdr:col>16</xdr:col>
      <xdr:colOff>0</xdr:colOff>
      <xdr:row>20</xdr:row>
      <xdr:rowOff>30480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ie" refreshedDate="44677.399313657406" createdVersion="6" refreshedVersion="6" minRefreshableVersion="3" recordCount="28" xr:uid="{00000000-000A-0000-FFFF-FFFF36000000}">
  <cacheSource type="worksheet">
    <worksheetSource name="BASE_DONNEES"/>
  </cacheSource>
  <cacheFields count="32">
    <cacheField name="AA" numFmtId="0">
      <sharedItems containsBlank="1" count="19">
        <s v="ABM"/>
        <s v="SOTRA"/>
        <s v="BONY VOYAGE"/>
        <s v="OCEAN DU NORD"/>
        <s v="STELLIMAC"/>
        <s v="TOTAL ENERGY"/>
        <s v="SNPC"/>
        <s v="X-OIL"/>
        <s v="ZAZA"/>
        <s v="MANIOC"/>
        <s v="CACAO"/>
        <s v="MAB"/>
        <m u="1"/>
        <s v="NJKGJ" u="1"/>
        <s v="JBGJ" u="1"/>
        <s v=" BNN" u="1"/>
        <s v="JFFGJK" u="1"/>
        <s v="LOU BUSINESS" u="1"/>
        <s v="BNN" u="1"/>
      </sharedItems>
    </cacheField>
    <cacheField name="AB" numFmtId="0">
      <sharedItems/>
    </cacheField>
    <cacheField name="AC" numFmtId="0">
      <sharedItems containsBlank="1" count="9">
        <s v="INDUSTRIE"/>
        <s v="TRANSPORT"/>
        <s v="AGRICULTURE"/>
        <m u="1"/>
        <s v="BBVN" u="1"/>
        <s v="DSCX" u="1"/>
        <s v="JXSS" u="1"/>
        <s v="GF" u="1"/>
        <s v="NVB" u="1"/>
      </sharedItems>
    </cacheField>
    <cacheField name="AD" numFmtId="0">
      <sharedItems containsSemiMixedTypes="0" containsString="0" containsNumber="1" containsInteger="1" minValue="2015" maxValue="2023" count="6">
        <n v="2020"/>
        <n v="2021"/>
        <n v="2022"/>
        <n v="2023"/>
        <n v="2015" u="1"/>
        <n v="2016" u="1"/>
      </sharedItems>
    </cacheField>
    <cacheField name="BA" numFmtId="0">
      <sharedItems containsSemiMixedTypes="0" containsString="0" containsNumber="1" containsInteger="1" minValue="26507976" maxValue="49218361"/>
    </cacheField>
    <cacheField name="BAA" numFmtId="0">
      <sharedItems containsSemiMixedTypes="0" containsString="0" containsNumber="1" containsInteger="1" minValue="15045538" maxValue="19903034"/>
    </cacheField>
    <cacheField name="BB" numFmtId="0">
      <sharedItems containsSemiMixedTypes="0" containsString="0" containsNumber="1" containsInteger="1" minValue="1734230" maxValue="3451940"/>
    </cacheField>
    <cacheField name="BC" numFmtId="0">
      <sharedItems containsSemiMixedTypes="0" containsString="0" containsNumber="1" containsInteger="1" minValue="1700366" maxValue="4470381"/>
    </cacheField>
    <cacheField name="BD" numFmtId="0">
      <sharedItems containsSemiMixedTypes="0" containsString="0" containsNumber="1" containsInteger="1" minValue="1286885" maxValue="3127545"/>
    </cacheField>
    <cacheField name="BE" numFmtId="0">
      <sharedItems containsSemiMixedTypes="0" containsString="0" containsNumber="1" containsInteger="1" minValue="34228482" maxValue="57258146"/>
    </cacheField>
    <cacheField name="BF" numFmtId="0">
      <sharedItems containsSemiMixedTypes="0" containsString="0" containsNumber="1" containsInteger="1" minValue="10092081" maxValue="12457521"/>
    </cacheField>
    <cacheField name="BG" numFmtId="0">
      <sharedItems containsSemiMixedTypes="0" containsString="0" containsNumber="1" containsInteger="1" minValue="12009304" maxValue="12957166"/>
    </cacheField>
    <cacheField name="BH" numFmtId="0">
      <sharedItems containsSemiMixedTypes="0" containsString="0" containsNumber="1" containsInteger="1" minValue="10186200" maxValue="33432001"/>
    </cacheField>
    <cacheField name="BHA" numFmtId="0">
      <sharedItems containsSemiMixedTypes="0" containsString="0" containsNumber="1" containsInteger="1" minValue="1030180" maxValue="23406911"/>
    </cacheField>
    <cacheField name="BI" numFmtId="0">
      <sharedItems containsSemiMixedTypes="0" containsString="0" containsNumber="1" containsInteger="1" minValue="34228482" maxValue="57258146"/>
    </cacheField>
    <cacheField name="CA" numFmtId="0">
      <sharedItems containsSemiMixedTypes="0" containsString="0" containsNumber="1" containsInteger="1" minValue="1653244" maxValue="6291522"/>
    </cacheField>
    <cacheField name="CB" numFmtId="0">
      <sharedItems containsSemiMixedTypes="0" containsString="0" containsNumber="1" containsInteger="1" minValue="1700762" maxValue="6446068"/>
    </cacheField>
    <cacheField name="CD" numFmtId="0">
      <sharedItems containsSemiMixedTypes="0" containsString="0" containsNumber="1" containsInteger="1" minValue="1514406" maxValue="6467195"/>
    </cacheField>
    <cacheField name="CE" numFmtId="0">
      <sharedItems containsSemiMixedTypes="0" containsString="0" containsNumber="1" containsInteger="1" minValue="1732214" maxValue="6379384"/>
    </cacheField>
    <cacheField name="CF" numFmtId="0">
      <sharedItems containsSemiMixedTypes="0" containsString="0" containsNumber="1" containsInteger="1" minValue="548873375" maxValue="24849379108"/>
    </cacheField>
    <cacheField name="CG" numFmtId="0">
      <sharedItems containsSemiMixedTypes="0" containsString="0" containsNumber="1" containsInteger="1" minValue="10460636" maxValue="14742354"/>
    </cacheField>
    <cacheField name="CH" numFmtId="0">
      <sharedItems containsSemiMixedTypes="0" containsString="0" containsNumber="1" containsInteger="1" minValue="10090371" maxValue="14875159"/>
    </cacheField>
    <cacheField name="CI" numFmtId="0">
      <sharedItems containsSemiMixedTypes="0" containsString="0" containsNumber="1" containsInteger="1" minValue="5119316" maxValue="12470274"/>
    </cacheField>
    <cacheField name="CJ" numFmtId="0">
      <sharedItems containsSemiMixedTypes="0" containsString="0" containsNumber="1" containsInteger="1" minValue="5674631" maxValue="11981598"/>
    </cacheField>
    <cacheField name="CK" numFmtId="0">
      <sharedItems containsSemiMixedTypes="0" containsString="0" containsNumber="1" containsInteger="1" minValue="5143464" maxValue="12182365"/>
    </cacheField>
    <cacheField name="CL" numFmtId="0">
      <sharedItems containsSemiMixedTypes="0" containsString="0" containsNumber="1" containsInteger="1" minValue="5069960" maxValue="12370243"/>
    </cacheField>
    <cacheField name="CM" numFmtId="0">
      <sharedItems containsSemiMixedTypes="0" containsString="0" containsNumber="1" containsInteger="1" minValue="5038232" maxValue="12269080"/>
    </cacheField>
    <cacheField name="CN" numFmtId="0">
      <sharedItems containsSemiMixedTypes="0" containsString="0" containsNumber="1" containsInteger="1" minValue="5151121" maxValue="12327314"/>
    </cacheField>
    <cacheField name="CO" numFmtId="0">
      <sharedItems containsSemiMixedTypes="0" containsString="0" containsNumber="1" containsInteger="1" minValue="5415764" maxValue="12185433"/>
    </cacheField>
    <cacheField name="CP" numFmtId="0">
      <sharedItems containsSemiMixedTypes="0" containsString="0" containsNumber="1" containsInteger="1" minValue="5214665" maxValue="12179066"/>
    </cacheField>
    <cacheField name="CQ" numFmtId="0">
      <sharedItems containsSemiMixedTypes="0" containsString="0" containsNumber="1" containsInteger="1" minValue="5015825" maxValue="12354829"/>
    </cacheField>
    <cacheField name="DA" numFmtId="0">
      <sharedItems containsSemiMixedTypes="0" containsString="0" containsNumber="1" minValue="1.2" maxValue="1.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s v="ABM"/>
    <x v="0"/>
    <x v="0"/>
    <n v="32382478"/>
    <n v="16466799"/>
    <n v="2413156"/>
    <n v="2175773"/>
    <n v="2255467"/>
    <n v="39226874"/>
    <n v="12128747"/>
    <n v="12009304"/>
    <n v="15088823"/>
    <n v="2722570"/>
    <n v="39226874"/>
    <n v="5688798"/>
    <n v="5249817"/>
    <n v="4212632"/>
    <n v="5847535"/>
    <n v="24049178384"/>
    <n v="14341975"/>
    <n v="11843018"/>
    <n v="12078604"/>
    <n v="10604028"/>
    <n v="12182365"/>
    <n v="10826486"/>
    <n v="12269080"/>
    <n v="7392187"/>
    <n v="7463589"/>
    <n v="5570565"/>
    <n v="8814256"/>
    <n v="1.5"/>
  </r>
  <r>
    <x v="0"/>
    <s v="ABM"/>
    <x v="0"/>
    <x v="1"/>
    <n v="26507976"/>
    <n v="18534851"/>
    <n v="3220023"/>
    <n v="2496923"/>
    <n v="2244947"/>
    <n v="34469869"/>
    <n v="10092081"/>
    <n v="12280518"/>
    <n v="12097270"/>
    <n v="9987477"/>
    <n v="34469869"/>
    <n v="2266944"/>
    <n v="3927821"/>
    <n v="4737336"/>
    <n v="1732214"/>
    <n v="10344126069"/>
    <n v="12027571"/>
    <n v="11903342"/>
    <n v="6923350"/>
    <n v="11716952"/>
    <n v="8633036"/>
    <n v="12274084"/>
    <n v="10085355"/>
    <n v="12260973"/>
    <n v="5830242"/>
    <n v="7040442"/>
    <n v="5868574"/>
    <n v="1.2"/>
  </r>
  <r>
    <x v="0"/>
    <s v="ABM"/>
    <x v="0"/>
    <x v="2"/>
    <n v="43247849"/>
    <n v="17446137"/>
    <n v="3451940"/>
    <n v="1894349"/>
    <n v="1559349"/>
    <n v="50153487"/>
    <n v="11995377"/>
    <n v="12471914"/>
    <n v="25686196"/>
    <n v="15274434"/>
    <n v="50153487"/>
    <n v="3337077"/>
    <n v="5562286"/>
    <n v="4227832"/>
    <n v="2371280"/>
    <n v="13676199445"/>
    <n v="12307806"/>
    <n v="10451824"/>
    <n v="6576021"/>
    <n v="9756791"/>
    <n v="8041795"/>
    <n v="7605189"/>
    <n v="10122843"/>
    <n v="5161444"/>
    <n v="5415764"/>
    <n v="7476637"/>
    <n v="6427730"/>
    <n v="1.7"/>
  </r>
  <r>
    <x v="0"/>
    <s v="ABM"/>
    <x v="0"/>
    <x v="3"/>
    <n v="29186327"/>
    <n v="18728254"/>
    <n v="2465291"/>
    <n v="3173043"/>
    <n v="2923563"/>
    <n v="37748224"/>
    <n v="12204602"/>
    <n v="12321407"/>
    <n v="13222215"/>
    <n v="1030180"/>
    <n v="37748224"/>
    <n v="5177659"/>
    <n v="2385510"/>
    <n v="2070254"/>
    <n v="4336336"/>
    <n v="11860553179"/>
    <n v="11120041"/>
    <n v="11240475"/>
    <n v="6633822"/>
    <n v="10214714"/>
    <n v="8638069"/>
    <n v="11593740"/>
    <n v="7591640"/>
    <n v="10921083"/>
    <n v="9034135"/>
    <n v="6137280"/>
    <n v="12354829"/>
    <n v="1.45"/>
  </r>
  <r>
    <x v="1"/>
    <s v="SOTRA"/>
    <x v="1"/>
    <x v="0"/>
    <n v="41359203"/>
    <n v="19069059"/>
    <n v="3116591"/>
    <n v="2115869"/>
    <n v="1664173"/>
    <n v="48255836"/>
    <n v="12104251"/>
    <n v="12336881"/>
    <n v="23814704"/>
    <n v="13308719"/>
    <n v="48255836"/>
    <n v="3692124"/>
    <n v="5503941"/>
    <n v="4736681"/>
    <n v="2697234"/>
    <n v="22724383584"/>
    <n v="13580255"/>
    <n v="12109643"/>
    <n v="5119316"/>
    <n v="8900923"/>
    <n v="6964802"/>
    <n v="10571004"/>
    <n v="7335823"/>
    <n v="6521813"/>
    <n v="7630395"/>
    <n v="7129902"/>
    <n v="5015825"/>
    <n v="1.5"/>
  </r>
  <r>
    <x v="1"/>
    <s v="SOTRA"/>
    <x v="1"/>
    <x v="1"/>
    <n v="40263160"/>
    <n v="18646694"/>
    <n v="3201772"/>
    <n v="3107267"/>
    <n v="2557651"/>
    <n v="49129850"/>
    <n v="11128907"/>
    <n v="12293651"/>
    <n v="25707292"/>
    <n v="14087644"/>
    <n v="49129850"/>
    <n v="4782634"/>
    <n v="3419478"/>
    <n v="5869678"/>
    <n v="4796352"/>
    <n v="13571123440"/>
    <n v="10520606"/>
    <n v="11027669"/>
    <n v="8827583"/>
    <n v="11981598"/>
    <n v="8971479"/>
    <n v="10873863"/>
    <n v="5897012"/>
    <n v="7881535"/>
    <n v="8873779"/>
    <n v="8355138"/>
    <n v="6635686"/>
    <n v="1.2"/>
  </r>
  <r>
    <x v="1"/>
    <s v="SOTRA"/>
    <x v="1"/>
    <x v="2"/>
    <n v="43070216"/>
    <n v="18573601"/>
    <n v="2263779"/>
    <n v="2541938"/>
    <n v="2184752"/>
    <n v="50060685"/>
    <n v="10197218"/>
    <n v="12355939"/>
    <n v="27507528"/>
    <n v="16123598"/>
    <n v="50060685"/>
    <n v="2179070"/>
    <n v="4351980"/>
    <n v="2638642"/>
    <n v="4660930"/>
    <n v="8012435427"/>
    <n v="12295996"/>
    <n v="10090371"/>
    <n v="7114205"/>
    <n v="9612303"/>
    <n v="11644409"/>
    <n v="5069960"/>
    <n v="9782226"/>
    <n v="10682715"/>
    <n v="11444056"/>
    <n v="5816140"/>
    <n v="11091664"/>
    <n v="1.7"/>
  </r>
  <r>
    <x v="2"/>
    <s v="BNV"/>
    <x v="1"/>
    <x v="0"/>
    <n v="33911360"/>
    <n v="15187270"/>
    <n v="2535668"/>
    <n v="2459483"/>
    <n v="2423460"/>
    <n v="41329971"/>
    <n v="10793533"/>
    <n v="12016764"/>
    <n v="18519674"/>
    <n v="6708799"/>
    <n v="41329971"/>
    <n v="3120891"/>
    <n v="3777364"/>
    <n v="6080142"/>
    <n v="6379384"/>
    <n v="16390502651"/>
    <n v="12280575"/>
    <n v="12661417"/>
    <n v="8594279"/>
    <n v="8802806"/>
    <n v="8602880"/>
    <n v="11558745"/>
    <n v="9407358"/>
    <n v="6915472"/>
    <n v="7310114"/>
    <n v="11816939"/>
    <n v="10231515"/>
    <n v="1.5"/>
  </r>
  <r>
    <x v="2"/>
    <s v="BNV"/>
    <x v="1"/>
    <x v="1"/>
    <n v="42274078"/>
    <n v="18151842"/>
    <n v="2844268"/>
    <n v="3074215"/>
    <n v="2917586"/>
    <n v="51110147"/>
    <n v="11146758"/>
    <n v="12407682"/>
    <n v="27555707"/>
    <n v="17240744"/>
    <n v="51110147"/>
    <n v="1789786"/>
    <n v="3327946"/>
    <n v="1676251"/>
    <n v="5040935"/>
    <n v="13441891901"/>
    <n v="14494268"/>
    <n v="10531314"/>
    <n v="10935319"/>
    <n v="7829593"/>
    <n v="11127596"/>
    <n v="12370243"/>
    <n v="9138013"/>
    <n v="11776668"/>
    <n v="5718866"/>
    <n v="8940518"/>
    <n v="6093781"/>
    <n v="1.2"/>
  </r>
  <r>
    <x v="3"/>
    <s v="ON"/>
    <x v="1"/>
    <x v="0"/>
    <n v="37167685"/>
    <n v="19903034"/>
    <n v="3197880"/>
    <n v="2598646"/>
    <n v="1303647"/>
    <n v="44267858"/>
    <n v="10887268"/>
    <n v="12179649"/>
    <n v="21200941"/>
    <n v="9112812"/>
    <n v="44267858"/>
    <n v="1653244"/>
    <n v="6446068"/>
    <n v="2016281"/>
    <n v="3138274"/>
    <n v="13757274760"/>
    <n v="11946015"/>
    <n v="12594393"/>
    <n v="8813444"/>
    <n v="9478845"/>
    <n v="9676799"/>
    <n v="10581767"/>
    <n v="11258495"/>
    <n v="7711455"/>
    <n v="9255473"/>
    <n v="7800807"/>
    <n v="10388114"/>
    <n v="1.5"/>
  </r>
  <r>
    <x v="3"/>
    <s v="ON"/>
    <x v="1"/>
    <x v="1"/>
    <n v="40240470"/>
    <n v="19306055"/>
    <n v="3121612"/>
    <n v="3614908"/>
    <n v="2454660"/>
    <n v="49431650"/>
    <n v="11084383"/>
    <n v="12886524"/>
    <n v="25460743"/>
    <n v="13869147"/>
    <n v="49431650"/>
    <n v="2387735"/>
    <n v="5505174"/>
    <n v="3458780"/>
    <n v="4694132"/>
    <n v="9150730803"/>
    <n v="13176022"/>
    <n v="12648144"/>
    <n v="11908165"/>
    <n v="8208666"/>
    <n v="11832748"/>
    <n v="7128161"/>
    <n v="11620236"/>
    <n v="10186613"/>
    <n v="10875540"/>
    <n v="10029392"/>
    <n v="6619336"/>
    <n v="1.2"/>
  </r>
  <r>
    <x v="4"/>
    <s v="SC"/>
    <x v="1"/>
    <x v="0"/>
    <n v="32024002"/>
    <n v="15045538"/>
    <n v="2572292"/>
    <n v="2703037"/>
    <n v="2100377"/>
    <n v="39399708"/>
    <n v="11753153"/>
    <n v="12570309"/>
    <n v="15076246"/>
    <n v="4285226"/>
    <n v="39399708"/>
    <n v="3713674"/>
    <n v="3978676"/>
    <n v="2431573"/>
    <n v="2298233"/>
    <n v="15183598224"/>
    <n v="12308638"/>
    <n v="14535909"/>
    <n v="11051639"/>
    <n v="9693270"/>
    <n v="6256438"/>
    <n v="7040415"/>
    <n v="6964620"/>
    <n v="7125880"/>
    <n v="9240656"/>
    <n v="10295928"/>
    <n v="5215982"/>
    <n v="1.5"/>
  </r>
  <r>
    <x v="4"/>
    <s v="SC"/>
    <x v="1"/>
    <x v="1"/>
    <n v="46315895"/>
    <n v="16201995"/>
    <n v="2708639"/>
    <n v="3318269"/>
    <n v="2247735"/>
    <n v="54590538"/>
    <n v="12360749"/>
    <n v="12435249"/>
    <n v="29794540"/>
    <n v="19146630"/>
    <n v="54590538"/>
    <n v="3334445"/>
    <n v="5387276"/>
    <n v="5253944"/>
    <n v="2473508"/>
    <n v="15345793209"/>
    <n v="12682535"/>
    <n v="12831190"/>
    <n v="6818040"/>
    <n v="5674631"/>
    <n v="9616227"/>
    <n v="10356901"/>
    <n v="5646640"/>
    <n v="5489885"/>
    <n v="10188509"/>
    <n v="5214665"/>
    <n v="11097004"/>
    <n v="1.2"/>
  </r>
  <r>
    <x v="4"/>
    <s v="SC"/>
    <x v="1"/>
    <x v="2"/>
    <n v="40612156"/>
    <n v="18760362"/>
    <n v="2864138"/>
    <n v="1741821"/>
    <n v="2860794"/>
    <n v="48078909"/>
    <n v="11714385"/>
    <n v="12323962"/>
    <n v="24040562"/>
    <n v="11682028"/>
    <n v="48078909"/>
    <n v="5405085"/>
    <n v="6156983"/>
    <n v="1748556"/>
    <n v="5134605"/>
    <n v="20524542517"/>
    <n v="10460636"/>
    <n v="12070441"/>
    <n v="6267882"/>
    <n v="7670850"/>
    <n v="7394822"/>
    <n v="7323161"/>
    <n v="8749579"/>
    <n v="5203144"/>
    <n v="11504972"/>
    <n v="9720116"/>
    <n v="11437642"/>
    <n v="1.7"/>
  </r>
  <r>
    <x v="5"/>
    <s v="TL"/>
    <x v="0"/>
    <x v="0"/>
    <n v="33323900"/>
    <n v="19678150"/>
    <n v="2686161"/>
    <n v="4470381"/>
    <n v="2159743"/>
    <n v="42640185"/>
    <n v="10966445"/>
    <n v="12775882"/>
    <n v="18897858"/>
    <n v="6902118"/>
    <n v="42640185"/>
    <n v="3874629"/>
    <n v="3046191"/>
    <n v="2613087"/>
    <n v="5456359"/>
    <n v="9035081884"/>
    <n v="11915375"/>
    <n v="13323008"/>
    <n v="6986556"/>
    <n v="9966577"/>
    <n v="11976832"/>
    <n v="5626698"/>
    <n v="6178761"/>
    <n v="6891073"/>
    <n v="8673195"/>
    <n v="8219538"/>
    <n v="10193793"/>
    <n v="1.5"/>
  </r>
  <r>
    <x v="5"/>
    <s v="TL"/>
    <x v="0"/>
    <x v="1"/>
    <n v="30640334"/>
    <n v="16746447"/>
    <n v="2682254"/>
    <n v="4381498"/>
    <n v="2907228"/>
    <n v="40611314"/>
    <n v="11726088"/>
    <n v="12167128"/>
    <n v="16718098"/>
    <n v="6226991"/>
    <n v="40611314"/>
    <n v="1814604"/>
    <n v="3042564"/>
    <n v="6025040"/>
    <n v="2735528"/>
    <n v="5655736827"/>
    <n v="12919013"/>
    <n v="14196685"/>
    <n v="8604650"/>
    <n v="11570188"/>
    <n v="9343054"/>
    <n v="11135298"/>
    <n v="11459422"/>
    <n v="11521444"/>
    <n v="10306718"/>
    <n v="8334009"/>
    <n v="11135360"/>
    <n v="1.2"/>
  </r>
  <r>
    <x v="6"/>
    <s v="SNPC"/>
    <x v="0"/>
    <x v="0"/>
    <n v="49218361"/>
    <n v="15795569"/>
    <n v="2379449"/>
    <n v="2158379"/>
    <n v="1695704"/>
    <n v="55451893"/>
    <n v="11242629"/>
    <n v="12849376"/>
    <n v="31359888"/>
    <n v="20167174"/>
    <n v="55451893"/>
    <n v="3353135"/>
    <n v="3003407"/>
    <n v="1514406"/>
    <n v="4983414"/>
    <n v="548873375"/>
    <n v="12199178"/>
    <n v="14871470"/>
    <n v="9001411"/>
    <n v="5763161"/>
    <n v="5471101"/>
    <n v="12049697"/>
    <n v="5038232"/>
    <n v="10962305"/>
    <n v="7779029"/>
    <n v="6210261"/>
    <n v="6147991"/>
    <n v="1.5"/>
  </r>
  <r>
    <x v="6"/>
    <s v="SNPC"/>
    <x v="0"/>
    <x v="1"/>
    <n v="31568838"/>
    <n v="15812857"/>
    <n v="1734230"/>
    <n v="2151570"/>
    <n v="1904794"/>
    <n v="37359432"/>
    <n v="12457521"/>
    <n v="12565113"/>
    <n v="12336798"/>
    <n v="2061534"/>
    <n v="37359432"/>
    <n v="2855056"/>
    <n v="5956440"/>
    <n v="1706727"/>
    <n v="3207931"/>
    <n v="18723054681"/>
    <n v="14080802"/>
    <n v="11306703"/>
    <n v="11007483"/>
    <n v="9629742"/>
    <n v="7026554"/>
    <n v="11730151"/>
    <n v="8011036"/>
    <n v="6095621"/>
    <n v="7910182"/>
    <n v="10075476"/>
    <n v="8883075"/>
    <n v="1.2"/>
  </r>
  <r>
    <x v="6"/>
    <s v="SNPC"/>
    <x v="0"/>
    <x v="2"/>
    <n v="35568206"/>
    <n v="16616371"/>
    <n v="2239185"/>
    <n v="2824383"/>
    <n v="3127545"/>
    <n v="43759319"/>
    <n v="11715088"/>
    <n v="12727695"/>
    <n v="19316536"/>
    <n v="7240446"/>
    <n v="43759319"/>
    <n v="3908816"/>
    <n v="2528989"/>
    <n v="5728865"/>
    <n v="5897149"/>
    <n v="21600758122"/>
    <n v="14218909"/>
    <n v="10188589"/>
    <n v="7758190"/>
    <n v="9248724"/>
    <n v="8345328"/>
    <n v="8230618"/>
    <n v="12040098"/>
    <n v="8593130"/>
    <n v="11215702"/>
    <n v="8780808"/>
    <n v="7493762"/>
    <n v="1.7"/>
  </r>
  <r>
    <x v="7"/>
    <s v="XL"/>
    <x v="0"/>
    <x v="2"/>
    <n v="47852862"/>
    <n v="19745422"/>
    <n v="3236956"/>
    <n v="3722135"/>
    <n v="1286885"/>
    <n v="56098838"/>
    <n v="12086083"/>
    <n v="12504961"/>
    <n v="31507794"/>
    <n v="20272802"/>
    <n v="56098838"/>
    <n v="4219309"/>
    <n v="2733823"/>
    <n v="5312306"/>
    <n v="4963321"/>
    <n v="2214404134"/>
    <n v="12682607"/>
    <n v="11718470"/>
    <n v="6036367"/>
    <n v="11153444"/>
    <n v="10249630"/>
    <n v="12081072"/>
    <n v="10506057"/>
    <n v="5151121"/>
    <n v="10606838"/>
    <n v="8230905"/>
    <n v="9237116"/>
    <n v="1.7"/>
  </r>
  <r>
    <x v="8"/>
    <s v="ZA"/>
    <x v="2"/>
    <x v="0"/>
    <n v="47781046"/>
    <n v="15948894"/>
    <n v="2217200"/>
    <n v="4192968"/>
    <n v="3066932"/>
    <n v="57258146"/>
    <n v="11069396"/>
    <n v="12756749"/>
    <n v="33432001"/>
    <n v="23406911"/>
    <n v="57258146"/>
    <n v="3372052"/>
    <n v="3521782"/>
    <n v="1527513"/>
    <n v="3509004"/>
    <n v="10554988879"/>
    <n v="11148746"/>
    <n v="13318156"/>
    <n v="8908230"/>
    <n v="8079282"/>
    <n v="5358347"/>
    <n v="9239530"/>
    <n v="8295644"/>
    <n v="10293559"/>
    <n v="12185433"/>
    <n v="8305671"/>
    <n v="9720916"/>
    <n v="1.5"/>
  </r>
  <r>
    <x v="8"/>
    <s v="ZA"/>
    <x v="2"/>
    <x v="1"/>
    <n v="28086874"/>
    <n v="17060694"/>
    <n v="2938011"/>
    <n v="3468974"/>
    <n v="2740276"/>
    <n v="37234135"/>
    <n v="10414087"/>
    <n v="12214255"/>
    <n v="14605793"/>
    <n v="3866061"/>
    <n v="37234135"/>
    <n v="6291522"/>
    <n v="6175074"/>
    <n v="6467195"/>
    <n v="5510956"/>
    <n v="16373879942"/>
    <n v="12683307"/>
    <n v="10310686"/>
    <n v="12386097"/>
    <n v="6725535"/>
    <n v="10357380"/>
    <n v="9595646"/>
    <n v="5091520"/>
    <n v="7628531"/>
    <n v="6050104"/>
    <n v="5988962"/>
    <n v="6794234"/>
    <n v="1.2"/>
  </r>
  <r>
    <x v="9"/>
    <s v="MAN"/>
    <x v="2"/>
    <x v="0"/>
    <n v="26554603"/>
    <n v="18159627"/>
    <n v="1878181"/>
    <n v="4158403"/>
    <n v="1637295"/>
    <n v="34228482"/>
    <n v="11453705"/>
    <n v="12588577"/>
    <n v="10186200"/>
    <n v="7739594"/>
    <n v="34228482"/>
    <n v="2348771"/>
    <n v="3128446"/>
    <n v="5265483"/>
    <n v="3786371"/>
    <n v="24849379108"/>
    <n v="12023538"/>
    <n v="14852983"/>
    <n v="6095511"/>
    <n v="7158297"/>
    <n v="12145491"/>
    <n v="10838312"/>
    <n v="6365842"/>
    <n v="6706437"/>
    <n v="9384172"/>
    <n v="12179066"/>
    <n v="5223546"/>
    <n v="1.5"/>
  </r>
  <r>
    <x v="9"/>
    <s v="MAN"/>
    <x v="2"/>
    <x v="1"/>
    <n v="33942110"/>
    <n v="16761737"/>
    <n v="2445691"/>
    <n v="1700366"/>
    <n v="1687879"/>
    <n v="39776046"/>
    <n v="11840334"/>
    <n v="12436618"/>
    <n v="15499094"/>
    <n v="3073170"/>
    <n v="39776046"/>
    <n v="6175845"/>
    <n v="4287390"/>
    <n v="5152895"/>
    <n v="2680270"/>
    <n v="17507970072"/>
    <n v="13629018"/>
    <n v="10335937"/>
    <n v="10142150"/>
    <n v="10611091"/>
    <n v="8589872"/>
    <n v="6395279"/>
    <n v="8363084"/>
    <n v="9983127"/>
    <n v="6544336"/>
    <n v="9511284"/>
    <n v="9737013"/>
    <n v="1.2"/>
  </r>
  <r>
    <x v="10"/>
    <s v="CAO"/>
    <x v="2"/>
    <x v="0"/>
    <n v="32344513"/>
    <n v="19786218"/>
    <n v="2727883"/>
    <n v="3054790"/>
    <n v="1977948"/>
    <n v="40105134"/>
    <n v="10847298"/>
    <n v="12462440"/>
    <n v="16795396"/>
    <n v="5055926"/>
    <n v="40105134"/>
    <n v="3673819"/>
    <n v="1700762"/>
    <n v="3407129"/>
    <n v="2938228"/>
    <n v="20237406468"/>
    <n v="11706179"/>
    <n v="10396570"/>
    <n v="8670813"/>
    <n v="10304331"/>
    <n v="8536429"/>
    <n v="10705463"/>
    <n v="6813810"/>
    <n v="10676150"/>
    <n v="5903228"/>
    <n v="10190571"/>
    <n v="9489240"/>
    <n v="1.5"/>
  </r>
  <r>
    <x v="10"/>
    <s v="CAO"/>
    <x v="2"/>
    <x v="1"/>
    <n v="42363350"/>
    <n v="17874337"/>
    <n v="1968474"/>
    <n v="3963199"/>
    <n v="2896998"/>
    <n v="51192021"/>
    <n v="11235609"/>
    <n v="12151552"/>
    <n v="27804860"/>
    <n v="17308536"/>
    <n v="51192021"/>
    <n v="2850610"/>
    <n v="6094620"/>
    <n v="5342255"/>
    <n v="5700817"/>
    <n v="16969487671"/>
    <n v="14742354"/>
    <n v="14875159"/>
    <n v="12470274"/>
    <n v="6752428"/>
    <n v="5143464"/>
    <n v="10404418"/>
    <n v="7548487"/>
    <n v="11454574"/>
    <n v="7286195"/>
    <n v="5407854"/>
    <n v="8178434"/>
    <n v="1.2"/>
  </r>
  <r>
    <x v="11"/>
    <s v="MAB"/>
    <x v="2"/>
    <x v="0"/>
    <n v="26770219"/>
    <n v="19269996"/>
    <n v="3378917"/>
    <n v="2391035"/>
    <n v="2645591"/>
    <n v="35185762"/>
    <n v="11236858"/>
    <n v="12957166"/>
    <n v="10991738"/>
    <n v="7277253"/>
    <n v="35185762"/>
    <n v="4188471"/>
    <n v="3854379"/>
    <n v="2073033"/>
    <n v="6026168"/>
    <n v="17607854785"/>
    <n v="14481003"/>
    <n v="13525245"/>
    <n v="7612251"/>
    <n v="9778885"/>
    <n v="9657974"/>
    <n v="7521971"/>
    <n v="11751383"/>
    <n v="12327314"/>
    <n v="10181076"/>
    <n v="9262395"/>
    <n v="6253795"/>
    <n v="1.5"/>
  </r>
  <r>
    <x v="11"/>
    <s v="MAB"/>
    <x v="2"/>
    <x v="1"/>
    <n v="38744626"/>
    <n v="17003563"/>
    <n v="2829449"/>
    <n v="2625496"/>
    <n v="2302985"/>
    <n v="46502556"/>
    <n v="12135707"/>
    <n v="12403821"/>
    <n v="21963028"/>
    <n v="10964059"/>
    <n v="46502556"/>
    <n v="4793974"/>
    <n v="2119384"/>
    <n v="4856272"/>
    <n v="5450114"/>
    <n v="16886892220"/>
    <n v="12679561"/>
    <n v="11788878"/>
    <n v="7087135"/>
    <n v="6020564"/>
    <n v="7975619"/>
    <n v="7463676"/>
    <n v="5961883"/>
    <n v="5821850"/>
    <n v="11422955"/>
    <n v="6717486"/>
    <n v="10326691"/>
    <n v="1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rn_secteur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7">
  <location ref="I11:J15" firstHeaderRow="1" firstDataRow="1" firstDataCol="1"/>
  <pivotFields count="32">
    <pivotField showAll="0"/>
    <pivotField showAll="0"/>
    <pivotField axis="axisRow" showAll="0">
      <items count="10">
        <item m="1" x="4"/>
        <item m="1" x="5"/>
        <item m="1" x="7"/>
        <item m="1" x="6"/>
        <item m="1" x="8"/>
        <item x="0"/>
        <item m="1" x="3"/>
        <item x="1"/>
        <item x="2"/>
        <item t="default"/>
      </items>
    </pivotField>
    <pivotField showAll="0">
      <items count="7">
        <item h="1" m="1" x="4"/>
        <item h="1" m="1" x="5"/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4">
    <i>
      <x v="5"/>
    </i>
    <i>
      <x v="7"/>
    </i>
    <i>
      <x v="8"/>
    </i>
    <i t="grand">
      <x/>
    </i>
  </rowItems>
  <colItems count="1">
    <i/>
  </colItems>
  <dataFields count="1">
    <dataField name="Rn_secteur" fld="30" baseField="2" baseItem="1"/>
  </dataFields>
  <chartFormats count="5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Exercice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N11:N13" firstHeaderRow="1" firstDataRow="1" firstDataCol="1"/>
  <pivotFields count="32">
    <pivotField showAll="0">
      <items count="20">
        <item h="1" m="1" x="15"/>
        <item h="1" x="0"/>
        <item h="1" m="1" x="18"/>
        <item h="1" x="2"/>
        <item h="1" x="10"/>
        <item h="1" m="1" x="14"/>
        <item h="1" m="1" x="16"/>
        <item h="1" m="1" x="17"/>
        <item h="1" x="11"/>
        <item h="1" x="9"/>
        <item h="1" m="1" x="13"/>
        <item h="1" x="3"/>
        <item h="1" x="6"/>
        <item h="1" x="1"/>
        <item x="4"/>
        <item h="1" x="5"/>
        <item h="1" x="7"/>
        <item h="1" x="8"/>
        <item h="1" m="1" x="12"/>
        <item t="default"/>
      </items>
    </pivotField>
    <pivotField showAll="0"/>
    <pivotField showAll="0"/>
    <pivotField axis="axisRow" showAll="0">
      <items count="7">
        <item h="1" m="1" x="4"/>
        <item h="1" m="1" x="5"/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VA_secteur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3">
  <location ref="AF10:AG14" firstHeaderRow="1" firstDataRow="1" firstDataCol="1"/>
  <pivotFields count="32">
    <pivotField showAll="0"/>
    <pivotField showAll="0"/>
    <pivotField axis="axisRow" showAll="0">
      <items count="10">
        <item m="1" x="4"/>
        <item m="1" x="5"/>
        <item m="1" x="7"/>
        <item m="1" x="6"/>
        <item m="1" x="8"/>
        <item x="0"/>
        <item m="1" x="3"/>
        <item x="1"/>
        <item x="2"/>
        <item t="default"/>
      </items>
    </pivotField>
    <pivotField showAll="0">
      <items count="7">
        <item h="1" m="1" x="4"/>
        <item h="1" m="1" x="5"/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 v="5"/>
    </i>
    <i>
      <x v="7"/>
    </i>
    <i>
      <x v="8"/>
    </i>
    <i t="grand">
      <x/>
    </i>
  </rowItems>
  <colItems count="1">
    <i/>
  </colItems>
  <dataFields count="1">
    <dataField name="Valeur ajoutée par secteur" fld="20" baseField="2" baseItem="2"/>
  </dataFields>
  <chartFormats count="7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CA_secteur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4">
  <location ref="F11:G15" firstHeaderRow="1" firstDataRow="1" firstDataCol="1"/>
  <pivotFields count="32">
    <pivotField showAll="0"/>
    <pivotField showAll="0"/>
    <pivotField axis="axisRow" showAll="0">
      <items count="10">
        <item m="1" x="4"/>
        <item m="1" x="5"/>
        <item m="1" x="7"/>
        <item m="1" x="6"/>
        <item m="1" x="8"/>
        <item x="0"/>
        <item m="1" x="3"/>
        <item x="1"/>
        <item x="2"/>
        <item t="default"/>
      </items>
    </pivotField>
    <pivotField showAll="0">
      <items count="7">
        <item h="1" m="1" x="4"/>
        <item h="1" m="1" x="5"/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 v="5"/>
    </i>
    <i>
      <x v="7"/>
    </i>
    <i>
      <x v="8"/>
    </i>
    <i t="grand">
      <x/>
    </i>
  </rowItems>
  <colItems count="1">
    <i/>
  </colItems>
  <dataFields count="1">
    <dataField name="Chiffre d'affaire par secteur" fld="19" baseField="2" baseItem="2"/>
  </dataFields>
  <chartFormats count="4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Exercice_secteur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>
  <location ref="AI10:AI12" firstHeaderRow="1" firstDataRow="1" firstDataCol="1"/>
  <pivotFields count="32">
    <pivotField showAll="0"/>
    <pivotField showAll="0"/>
    <pivotField showAll="0"/>
    <pivotField axis="axisRow" showAll="0">
      <items count="7">
        <item h="1" m="1" x="4"/>
        <item h="1" m="1" x="5"/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CD_CA_VA" cacheId="0" applyNumberFormats="0" applyBorderFormats="0" applyFontFormats="0" applyPatternFormats="0" applyAlignmentFormats="0" applyWidthHeightFormats="1" dataCaption="Valeurs" updatedVersion="6" minRefreshableVersion="3" showDrill="0" showDataTips="0" useAutoFormatting="1" itemPrintTitles="1" createdVersion="6" indent="0" showHeaders="0" outline="1" outlineData="1" multipleFieldFilters="0" chartFormat="4">
  <location ref="A11:D15" firstHeaderRow="0" firstDataRow="1" firstDataCol="1"/>
  <pivotFields count="32">
    <pivotField showAll="0">
      <items count="20">
        <item h="1" m="1" x="15"/>
        <item h="1" x="0"/>
        <item h="1" m="1" x="18"/>
        <item h="1" x="2"/>
        <item h="1" x="10"/>
        <item h="1" m="1" x="14"/>
        <item h="1" m="1" x="16"/>
        <item h="1" m="1" x="17"/>
        <item h="1" x="11"/>
        <item h="1" x="9"/>
        <item h="1" m="1" x="13"/>
        <item h="1" x="3"/>
        <item h="1" x="6"/>
        <item h="1" x="1"/>
        <item x="4"/>
        <item h="1" x="5"/>
        <item h="1" x="7"/>
        <item h="1" x="8"/>
        <item h="1" m="1" x="12"/>
        <item t="default"/>
      </items>
    </pivotField>
    <pivotField showAll="0"/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4"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hiffre d'Affaire" fld="20" baseField="3" baseItem="2"/>
    <dataField name="Valeur ajoutée" fld="30" baseField="3" baseItem="2"/>
    <dataField name="Résulat Net" fld="19" baseField="3" baseItem="2"/>
  </dataFields>
  <chartFormats count="3"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Entreprise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L11:L13" firstHeaderRow="1" firstDataRow="1" firstDataCol="1"/>
  <pivotFields count="32">
    <pivotField axis="axisRow" showAll="0">
      <items count="20">
        <item h="1" m="1" x="15"/>
        <item h="1" x="0"/>
        <item h="1" m="1" x="18"/>
        <item h="1" m="1" x="14"/>
        <item h="1" m="1" x="16"/>
        <item h="1" m="1" x="13"/>
        <item h="1" m="1" x="17"/>
        <item h="1" m="1" x="12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>
      <items count="7">
        <item h="1" m="1" x="4"/>
        <item h="1" m="1" x="5"/>
        <item x="0"/>
        <item h="1" x="1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Nb_d'entreprise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K10:AL23" firstHeaderRow="1" firstDataRow="1" firstDataCol="1"/>
  <pivotFields count="32">
    <pivotField axis="axisRow" dataField="1" showAll="0">
      <items count="20">
        <item m="1" x="15"/>
        <item x="0"/>
        <item m="1" x="18"/>
        <item m="1" x="14"/>
        <item m="1" x="16"/>
        <item m="1" x="17"/>
        <item m="1" x="13"/>
        <item m="1" x="12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 v="1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Nb d'entreprise" fld="0" subtotal="count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A" xr10:uid="{00000000-0013-0000-FFFF-FFFF01000000}" sourceName="AA">
  <pivotTables>
    <pivotTable tabId="3" name="Entreprise"/>
    <pivotTable tabId="3" name="TCD_CA_VA"/>
    <pivotTable tabId="3" name="Exercice"/>
  </pivotTables>
  <data>
    <tabular pivotCacheId="1">
      <items count="19">
        <i x="0"/>
        <i x="2"/>
        <i x="10"/>
        <i x="11"/>
        <i x="9"/>
        <i x="3"/>
        <i x="6"/>
        <i x="1"/>
        <i x="4" s="1"/>
        <i x="5"/>
        <i x="7"/>
        <i x="8"/>
        <i x="15" nd="1"/>
        <i x="18" nd="1"/>
        <i x="14" nd="1"/>
        <i x="16" nd="1"/>
        <i x="17" nd="1"/>
        <i x="13" nd="1"/>
        <i x="1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D" xr10:uid="{00000000-0013-0000-FFFF-FFFF02000000}" sourceName="AD">
  <pivotTables>
    <pivotTable tabId="3" name="Entreprise"/>
    <pivotTable tabId="3" name="Exercice"/>
  </pivotTables>
  <data>
    <tabular pivotCacheId="1">
      <items count="6">
        <i x="0" s="1"/>
        <i x="1"/>
        <i x="2"/>
        <i x="4" nd="1"/>
        <i x="5" nd="1"/>
        <i x="3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D1" xr10:uid="{00000000-0013-0000-FFFF-FFFF03000000}" sourceName="AD">
  <pivotTables>
    <pivotTable tabId="3" name="Exercice_secteur"/>
    <pivotTable tabId="3" name="CA_secteur"/>
    <pivotTable tabId="3" name="VA_secteur"/>
    <pivotTable tabId="3" name="rn_secteur"/>
  </pivotTables>
  <data>
    <tabular pivotCacheId="1">
      <items count="6">
        <i x="0" s="1"/>
        <i x="1"/>
        <i x="2"/>
        <i x="3"/>
        <i x="4" nd="1"/>
        <i x="5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NTREPRISE" xr10:uid="{00000000-0014-0000-FFFF-FFFF01000000}" cache="Segment_AA" caption="ENTREPRISE" startItem="3" showCaption="0" rowHeight="234950"/>
  <slicer name="EXERCICE" xr10:uid="{00000000-0014-0000-FFFF-FFFF02000000}" cache="Segment_AD" caption="EXERCICE" showCaption="0" rowHeight="234950"/>
  <slicer name="AD" xr10:uid="{00000000-0014-0000-FFFF-FFFF03000000}" cache="Segment_AD1" caption="AD" showCaption="0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BASE_DONNEES" displayName="BASE_DONNEES" ref="B2:AG30" totalsRowShown="0" headerRowDxfId="34" dataDxfId="32" headerRowBorderDxfId="33">
  <autoFilter ref="B2:AG30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xr3:uid="{00000000-0010-0000-0000-000001000000}" name="AA" dataDxfId="31"/>
    <tableColumn id="2" xr3:uid="{00000000-0010-0000-0000-000002000000}" name="AB" dataDxfId="30"/>
    <tableColumn id="3" xr3:uid="{00000000-0010-0000-0000-000003000000}" name="AC" dataDxfId="29"/>
    <tableColumn id="4" xr3:uid="{00000000-0010-0000-0000-000004000000}" name="AD" dataDxfId="28"/>
    <tableColumn id="5" xr3:uid="{00000000-0010-0000-0000-000005000000}" name="BA" dataDxfId="27"/>
    <tableColumn id="6" xr3:uid="{00000000-0010-0000-0000-000006000000}" name="BAA" dataDxfId="26"/>
    <tableColumn id="7" xr3:uid="{00000000-0010-0000-0000-000007000000}" name="BB" dataDxfId="25"/>
    <tableColumn id="8" xr3:uid="{00000000-0010-0000-0000-000008000000}" name="BC" dataDxfId="24"/>
    <tableColumn id="9" xr3:uid="{00000000-0010-0000-0000-000009000000}" name="BD" dataDxfId="23"/>
    <tableColumn id="10" xr3:uid="{00000000-0010-0000-0000-00000A000000}" name="BE" dataDxfId="22"/>
    <tableColumn id="11" xr3:uid="{00000000-0010-0000-0000-00000B000000}" name="BF" dataDxfId="21"/>
    <tableColumn id="12" xr3:uid="{00000000-0010-0000-0000-00000C000000}" name="BG" dataDxfId="20"/>
    <tableColumn id="13" xr3:uid="{00000000-0010-0000-0000-00000D000000}" name="BH" dataDxfId="19"/>
    <tableColumn id="14" xr3:uid="{00000000-0010-0000-0000-00000E000000}" name="BHA" dataDxfId="18"/>
    <tableColumn id="15" xr3:uid="{00000000-0010-0000-0000-00000F000000}" name="BI" dataDxfId="17"/>
    <tableColumn id="16" xr3:uid="{00000000-0010-0000-0000-000010000000}" name="CA" dataDxfId="16"/>
    <tableColumn id="17" xr3:uid="{00000000-0010-0000-0000-000011000000}" name="CB" dataDxfId="15"/>
    <tableColumn id="18" xr3:uid="{00000000-0010-0000-0000-000012000000}" name="CD" dataDxfId="14"/>
    <tableColumn id="19" xr3:uid="{00000000-0010-0000-0000-000013000000}" name="CE" dataDxfId="13"/>
    <tableColumn id="20" xr3:uid="{00000000-0010-0000-0000-000014000000}" name="CF" dataDxfId="12"/>
    <tableColumn id="21" xr3:uid="{00000000-0010-0000-0000-000015000000}" name="CG" dataDxfId="11"/>
    <tableColumn id="22" xr3:uid="{00000000-0010-0000-0000-000016000000}" name="CH" dataDxfId="10"/>
    <tableColumn id="23" xr3:uid="{00000000-0010-0000-0000-000017000000}" name="CI" dataDxfId="9"/>
    <tableColumn id="24" xr3:uid="{00000000-0010-0000-0000-000018000000}" name="CJ" dataDxfId="8"/>
    <tableColumn id="25" xr3:uid="{00000000-0010-0000-0000-000019000000}" name="CK" dataDxfId="7"/>
    <tableColumn id="26" xr3:uid="{00000000-0010-0000-0000-00001A000000}" name="CL" dataDxfId="6"/>
    <tableColumn id="27" xr3:uid="{00000000-0010-0000-0000-00001B000000}" name="CM" dataDxfId="5"/>
    <tableColumn id="28" xr3:uid="{00000000-0010-0000-0000-00001C000000}" name="CN" dataDxfId="4"/>
    <tableColumn id="29" xr3:uid="{00000000-0010-0000-0000-00001D000000}" name="CO" dataDxfId="3"/>
    <tableColumn id="30" xr3:uid="{00000000-0010-0000-0000-00001E000000}" name="CP" dataDxfId="2"/>
    <tableColumn id="31" xr3:uid="{00000000-0010-0000-0000-00001F000000}" name="CQ" dataDxfId="1"/>
    <tableColumn id="32" xr3:uid="{00000000-0010-0000-0000-000020000000}" name="D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K54"/>
  <sheetViews>
    <sheetView topLeftCell="A38" workbookViewId="0">
      <selection activeCell="E50" sqref="E50"/>
    </sheetView>
  </sheetViews>
  <sheetFormatPr baseColWidth="10" defaultRowHeight="13.8" x14ac:dyDescent="0.3"/>
  <cols>
    <col min="1" max="1" width="11.5546875" style="2"/>
    <col min="2" max="2" width="6.6640625" style="2" customWidth="1"/>
    <col min="3" max="3" width="52.6640625" style="2" bestFit="1" customWidth="1"/>
    <col min="4" max="4" width="20.33203125" style="2" customWidth="1"/>
    <col min="5" max="5" width="11.5546875" style="2"/>
    <col min="6" max="6" width="12.77734375" style="2" customWidth="1"/>
    <col min="7" max="7" width="3.6640625" style="2" customWidth="1"/>
    <col min="8" max="8" width="13.21875" style="2" customWidth="1"/>
    <col min="9" max="9" width="2.88671875" style="2" customWidth="1"/>
    <col min="10" max="10" width="12.88671875" style="2" customWidth="1"/>
    <col min="11" max="16384" width="11.5546875" style="2"/>
  </cols>
  <sheetData>
    <row r="2" spans="1:10" ht="33" customHeight="1" x14ac:dyDescent="0.3">
      <c r="A2" s="8"/>
      <c r="B2" s="9"/>
      <c r="C2" s="9"/>
      <c r="D2" s="9"/>
      <c r="E2" s="9"/>
      <c r="F2" s="9"/>
      <c r="G2" s="9"/>
      <c r="H2" s="9"/>
      <c r="I2" s="9"/>
      <c r="J2" s="10"/>
    </row>
    <row r="6" spans="1:10" ht="15" customHeight="1" x14ac:dyDescent="0.3">
      <c r="B6" s="3"/>
      <c r="C6" s="4" t="s">
        <v>0</v>
      </c>
      <c r="D6" s="3"/>
    </row>
    <row r="8" spans="1:10" ht="15" customHeight="1" x14ac:dyDescent="0.3">
      <c r="B8" s="5" t="s">
        <v>35</v>
      </c>
      <c r="C8" s="6" t="s">
        <v>1</v>
      </c>
      <c r="D8" s="7"/>
    </row>
    <row r="9" spans="1:10" ht="8.4" customHeight="1" x14ac:dyDescent="0.3"/>
    <row r="10" spans="1:10" ht="14.4" customHeight="1" x14ac:dyDescent="0.3">
      <c r="B10" s="5" t="s">
        <v>36</v>
      </c>
      <c r="C10" s="6" t="s">
        <v>4</v>
      </c>
      <c r="D10" s="7"/>
    </row>
    <row r="11" spans="1:10" ht="8.4" customHeight="1" x14ac:dyDescent="0.3"/>
    <row r="12" spans="1:10" x14ac:dyDescent="0.3">
      <c r="B12" s="5" t="s">
        <v>37</v>
      </c>
      <c r="C12" s="6" t="s">
        <v>2</v>
      </c>
      <c r="D12" s="7"/>
    </row>
    <row r="13" spans="1:10" ht="8.4" customHeight="1" x14ac:dyDescent="0.3"/>
    <row r="14" spans="1:10" x14ac:dyDescent="0.3">
      <c r="B14" s="5" t="s">
        <v>38</v>
      </c>
      <c r="C14" s="6" t="s">
        <v>3</v>
      </c>
      <c r="D14" s="7"/>
    </row>
    <row r="16" spans="1:10" x14ac:dyDescent="0.3">
      <c r="B16" s="3"/>
      <c r="C16" s="4" t="s">
        <v>5</v>
      </c>
      <c r="D16" s="3"/>
    </row>
    <row r="18" spans="2:4" ht="16.2" customHeight="1" x14ac:dyDescent="0.3">
      <c r="B18" s="5" t="s">
        <v>39</v>
      </c>
      <c r="C18" s="6" t="s">
        <v>6</v>
      </c>
      <c r="D18" s="7"/>
    </row>
    <row r="19" spans="2:4" x14ac:dyDescent="0.3">
      <c r="B19" s="5" t="s">
        <v>40</v>
      </c>
      <c r="C19" s="6" t="s">
        <v>30</v>
      </c>
      <c r="D19" s="7"/>
    </row>
    <row r="20" spans="2:4" x14ac:dyDescent="0.3">
      <c r="B20" s="5" t="s">
        <v>41</v>
      </c>
      <c r="C20" s="6" t="s">
        <v>7</v>
      </c>
      <c r="D20" s="7"/>
    </row>
    <row r="21" spans="2:4" x14ac:dyDescent="0.3">
      <c r="B21" s="5" t="s">
        <v>42</v>
      </c>
      <c r="C21" s="6" t="s">
        <v>8</v>
      </c>
      <c r="D21" s="7"/>
    </row>
    <row r="22" spans="2:4" x14ac:dyDescent="0.3">
      <c r="B22" s="5" t="s">
        <v>43</v>
      </c>
      <c r="C22" s="6" t="s">
        <v>9</v>
      </c>
      <c r="D22" s="7"/>
    </row>
    <row r="23" spans="2:4" x14ac:dyDescent="0.3">
      <c r="B23" s="5" t="s">
        <v>44</v>
      </c>
      <c r="C23" s="6" t="s">
        <v>33</v>
      </c>
      <c r="D23" s="7"/>
    </row>
    <row r="25" spans="2:4" x14ac:dyDescent="0.3">
      <c r="B25" s="5" t="s">
        <v>45</v>
      </c>
      <c r="C25" s="6" t="s">
        <v>10</v>
      </c>
      <c r="D25" s="7"/>
    </row>
    <row r="26" spans="2:4" x14ac:dyDescent="0.3">
      <c r="B26" s="5" t="s">
        <v>46</v>
      </c>
      <c r="C26" s="6" t="s">
        <v>11</v>
      </c>
      <c r="D26" s="7"/>
    </row>
    <row r="27" spans="2:4" x14ac:dyDescent="0.3">
      <c r="B27" s="5" t="s">
        <v>47</v>
      </c>
      <c r="C27" s="6" t="s">
        <v>12</v>
      </c>
      <c r="D27" s="7"/>
    </row>
    <row r="28" spans="2:4" x14ac:dyDescent="0.3">
      <c r="B28" s="5" t="s">
        <v>48</v>
      </c>
      <c r="C28" s="6" t="s">
        <v>13</v>
      </c>
      <c r="D28" s="7"/>
    </row>
    <row r="29" spans="2:4" x14ac:dyDescent="0.3">
      <c r="B29" s="5" t="s">
        <v>49</v>
      </c>
      <c r="C29" s="6" t="s">
        <v>34</v>
      </c>
      <c r="D29" s="7"/>
    </row>
    <row r="31" spans="2:4" x14ac:dyDescent="0.3">
      <c r="B31" s="3"/>
      <c r="C31" s="4" t="s">
        <v>14</v>
      </c>
      <c r="D31" s="3"/>
    </row>
    <row r="33" spans="2:4" x14ac:dyDescent="0.3">
      <c r="B33" s="5" t="s">
        <v>50</v>
      </c>
      <c r="C33" s="6" t="s">
        <v>15</v>
      </c>
      <c r="D33" s="7"/>
    </row>
    <row r="34" spans="2:4" x14ac:dyDescent="0.3">
      <c r="B34" s="5" t="s">
        <v>51</v>
      </c>
      <c r="C34" s="6" t="s">
        <v>16</v>
      </c>
      <c r="D34" s="7"/>
    </row>
    <row r="35" spans="2:4" x14ac:dyDescent="0.3">
      <c r="B35" s="5" t="s">
        <v>52</v>
      </c>
      <c r="C35" s="6" t="s">
        <v>17</v>
      </c>
      <c r="D35" s="7"/>
    </row>
    <row r="36" spans="2:4" x14ac:dyDescent="0.3">
      <c r="B36" s="5" t="s">
        <v>53</v>
      </c>
      <c r="C36" s="6" t="s">
        <v>32</v>
      </c>
      <c r="D36" s="7"/>
    </row>
    <row r="37" spans="2:4" x14ac:dyDescent="0.3">
      <c r="B37" s="5" t="s">
        <v>54</v>
      </c>
      <c r="C37" s="6" t="s">
        <v>18</v>
      </c>
      <c r="D37" s="7"/>
    </row>
    <row r="38" spans="2:4" x14ac:dyDescent="0.3">
      <c r="B38" s="5" t="s">
        <v>55</v>
      </c>
      <c r="C38" s="6" t="s">
        <v>19</v>
      </c>
      <c r="D38" s="7"/>
    </row>
    <row r="39" spans="2:4" x14ac:dyDescent="0.3">
      <c r="B39" s="5" t="s">
        <v>56</v>
      </c>
      <c r="C39" s="6" t="s">
        <v>20</v>
      </c>
      <c r="D39" s="7"/>
    </row>
    <row r="40" spans="2:4" x14ac:dyDescent="0.3">
      <c r="B40" s="5" t="s">
        <v>57</v>
      </c>
      <c r="C40" s="6" t="s">
        <v>21</v>
      </c>
      <c r="D40" s="7"/>
    </row>
    <row r="41" spans="2:4" x14ac:dyDescent="0.3">
      <c r="B41" s="5" t="s">
        <v>58</v>
      </c>
      <c r="C41" s="6" t="s">
        <v>22</v>
      </c>
      <c r="D41" s="7"/>
    </row>
    <row r="42" spans="2:4" x14ac:dyDescent="0.3">
      <c r="B42" s="5" t="s">
        <v>59</v>
      </c>
      <c r="C42" s="6" t="s">
        <v>31</v>
      </c>
      <c r="D42" s="7"/>
    </row>
    <row r="43" spans="2:4" x14ac:dyDescent="0.3">
      <c r="B43" s="5" t="s">
        <v>60</v>
      </c>
      <c r="C43" s="6" t="s">
        <v>23</v>
      </c>
      <c r="D43" s="7"/>
    </row>
    <row r="44" spans="2:4" x14ac:dyDescent="0.3">
      <c r="B44" s="5" t="s">
        <v>61</v>
      </c>
      <c r="C44" s="6" t="s">
        <v>27</v>
      </c>
      <c r="D44" s="7"/>
    </row>
    <row r="45" spans="2:4" x14ac:dyDescent="0.3">
      <c r="B45" s="5" t="s">
        <v>62</v>
      </c>
      <c r="C45" s="6" t="s">
        <v>24</v>
      </c>
      <c r="D45" s="7"/>
    </row>
    <row r="46" spans="2:4" x14ac:dyDescent="0.3">
      <c r="B46" s="5" t="s">
        <v>63</v>
      </c>
      <c r="C46" s="6" t="s">
        <v>25</v>
      </c>
      <c r="D46" s="7"/>
    </row>
    <row r="47" spans="2:4" x14ac:dyDescent="0.3">
      <c r="B47" s="5" t="s">
        <v>64</v>
      </c>
      <c r="C47" s="6" t="s">
        <v>28</v>
      </c>
      <c r="D47" s="7"/>
    </row>
    <row r="48" spans="2:4" x14ac:dyDescent="0.3">
      <c r="B48" s="5" t="s">
        <v>65</v>
      </c>
      <c r="C48" s="6" t="s">
        <v>26</v>
      </c>
      <c r="D48" s="7"/>
    </row>
    <row r="50" spans="1:11" x14ac:dyDescent="0.3">
      <c r="B50" s="5" t="s">
        <v>66</v>
      </c>
      <c r="C50" s="6" t="s">
        <v>29</v>
      </c>
      <c r="D50" s="7"/>
    </row>
    <row r="51" spans="1:11" s="11" customFormat="1" ht="15.6" customHeight="1" thickBot="1" x14ac:dyDescent="0.35"/>
    <row r="52" spans="1:11" s="11" customFormat="1" ht="15.6" customHeight="1" thickBot="1" x14ac:dyDescent="0.35">
      <c r="A52" s="13"/>
      <c r="B52" s="14"/>
      <c r="C52" s="14"/>
      <c r="D52" s="14"/>
      <c r="E52" s="14"/>
      <c r="F52" s="14"/>
      <c r="G52" s="14"/>
      <c r="H52" s="14"/>
      <c r="I52" s="14"/>
      <c r="J52" s="14"/>
      <c r="K52" s="15"/>
    </row>
    <row r="53" spans="1:11" s="12" customFormat="1" ht="20.399999999999999" customHeight="1" thickBot="1" x14ac:dyDescent="0.35">
      <c r="A53" s="16"/>
      <c r="B53" s="17"/>
      <c r="C53" s="17"/>
      <c r="D53" s="17"/>
      <c r="E53" s="17"/>
      <c r="F53" s="22" t="s">
        <v>67</v>
      </c>
      <c r="G53" s="17"/>
      <c r="H53" s="22" t="s">
        <v>68</v>
      </c>
      <c r="I53" s="17"/>
      <c r="J53" s="22" t="s">
        <v>118</v>
      </c>
      <c r="K53" s="18"/>
    </row>
    <row r="54" spans="1:11" ht="14.4" thickBot="1" x14ac:dyDescent="0.35">
      <c r="A54" s="19"/>
      <c r="B54" s="20"/>
      <c r="C54" s="20"/>
      <c r="D54" s="20"/>
      <c r="E54" s="20"/>
      <c r="F54" s="20"/>
      <c r="G54" s="20"/>
      <c r="H54" s="20"/>
      <c r="I54" s="20"/>
      <c r="J54" s="20"/>
      <c r="K54" s="21"/>
    </row>
  </sheetData>
  <dataValidations count="3">
    <dataValidation type="whole" operator="greaterThanOrEqual" allowBlank="1" showInputMessage="1" showErrorMessage="1" errorTitle="Erreur de saisie" error="Veillez saisir une valeur" promptTitle="Information" prompt="Veillez saisir une valeur" sqref="D18:D23" xr:uid="{00000000-0002-0000-0000-000000000000}">
      <formula1>0</formula1>
    </dataValidation>
    <dataValidation type="whole" operator="greaterThanOrEqual" allowBlank="1" showInputMessage="1" showErrorMessage="1" errorTitle="Erreur" error="Veillez saisir une valeur" promptTitle="Information" prompt="Veillez saisir une valeur" sqref="D25:D29 D14 D33:D48" xr:uid="{00000000-0002-0000-0000-000001000000}">
      <formula1>0</formula1>
    </dataValidation>
    <dataValidation type="decimal" operator="greaterThanOrEqual" allowBlank="1" showInputMessage="1" showErrorMessage="1" errorTitle="Erreur" error="Veillez saisir une valeur" promptTitle="Information" prompt="Veillez saisir une valeur" sqref="D50" xr:uid="{00000000-0002-0000-00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I30"/>
  <sheetViews>
    <sheetView topLeftCell="A16" workbookViewId="0">
      <selection activeCell="D29" sqref="D29"/>
    </sheetView>
  </sheetViews>
  <sheetFormatPr baseColWidth="10" defaultColWidth="0" defaultRowHeight="14.4" x14ac:dyDescent="0.3"/>
  <cols>
    <col min="1" max="1" width="11.5546875" style="1" customWidth="1"/>
    <col min="2" max="2" width="22.21875" style="23" customWidth="1"/>
    <col min="3" max="33" width="11.5546875" style="23" customWidth="1"/>
    <col min="34" max="35" width="11.5546875" style="1" customWidth="1"/>
    <col min="36" max="16384" width="11.5546875" style="1" hidden="1"/>
  </cols>
  <sheetData>
    <row r="1" spans="2:33" x14ac:dyDescent="0.3"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</row>
    <row r="2" spans="2:33" s="24" customFormat="1" ht="15" thickBot="1" x14ac:dyDescent="0.35">
      <c r="B2" s="25" t="s">
        <v>35</v>
      </c>
      <c r="C2" s="26" t="s">
        <v>36</v>
      </c>
      <c r="D2" s="25" t="s">
        <v>37</v>
      </c>
      <c r="E2" s="25" t="s">
        <v>38</v>
      </c>
      <c r="F2" s="25" t="s">
        <v>39</v>
      </c>
      <c r="G2" s="25" t="s">
        <v>40</v>
      </c>
      <c r="H2" s="25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5" t="s">
        <v>46</v>
      </c>
      <c r="N2" s="25" t="s">
        <v>47</v>
      </c>
      <c r="O2" s="25" t="s">
        <v>48</v>
      </c>
      <c r="P2" s="25" t="s">
        <v>49</v>
      </c>
      <c r="Q2" s="25" t="s">
        <v>50</v>
      </c>
      <c r="R2" s="25" t="s">
        <v>51</v>
      </c>
      <c r="S2" s="25" t="s">
        <v>52</v>
      </c>
      <c r="T2" s="25" t="s">
        <v>53</v>
      </c>
      <c r="U2" s="25" t="s">
        <v>54</v>
      </c>
      <c r="V2" s="25" t="s">
        <v>55</v>
      </c>
      <c r="W2" s="25" t="s">
        <v>56</v>
      </c>
      <c r="X2" s="25" t="s">
        <v>57</v>
      </c>
      <c r="Y2" s="25" t="s">
        <v>58</v>
      </c>
      <c r="Z2" s="25" t="s">
        <v>59</v>
      </c>
      <c r="AA2" s="25" t="s">
        <v>60</v>
      </c>
      <c r="AB2" s="25" t="s">
        <v>61</v>
      </c>
      <c r="AC2" s="25" t="s">
        <v>62</v>
      </c>
      <c r="AD2" s="25" t="s">
        <v>63</v>
      </c>
      <c r="AE2" s="25" t="s">
        <v>64</v>
      </c>
      <c r="AF2" s="25" t="s">
        <v>65</v>
      </c>
      <c r="AG2" s="25" t="s">
        <v>66</v>
      </c>
    </row>
    <row r="3" spans="2:33" ht="15" thickTop="1" x14ac:dyDescent="0.3">
      <c r="B3" s="47" t="s">
        <v>69</v>
      </c>
      <c r="C3" s="47" t="s">
        <v>69</v>
      </c>
      <c r="D3" s="47" t="s">
        <v>103</v>
      </c>
      <c r="E3" s="47">
        <v>2020</v>
      </c>
      <c r="F3" s="47">
        <v>32382478</v>
      </c>
      <c r="G3" s="47">
        <v>16466799</v>
      </c>
      <c r="H3" s="47">
        <v>2413156</v>
      </c>
      <c r="I3" s="47">
        <v>2175773</v>
      </c>
      <c r="J3" s="47">
        <v>2255467</v>
      </c>
      <c r="K3" s="47">
        <v>39226874</v>
      </c>
      <c r="L3" s="47">
        <v>12128747</v>
      </c>
      <c r="M3" s="47">
        <v>12009304</v>
      </c>
      <c r="N3" s="47">
        <v>15088823</v>
      </c>
      <c r="O3" s="47">
        <v>2722570</v>
      </c>
      <c r="P3" s="47">
        <v>39226874</v>
      </c>
      <c r="Q3" s="47">
        <v>5688798</v>
      </c>
      <c r="R3" s="47">
        <v>5249817</v>
      </c>
      <c r="S3" s="47">
        <v>4212632</v>
      </c>
      <c r="T3" s="47">
        <v>5847535</v>
      </c>
      <c r="U3" s="47">
        <v>24049178384</v>
      </c>
      <c r="V3" s="47">
        <v>14341975</v>
      </c>
      <c r="W3" s="47">
        <v>11843018</v>
      </c>
      <c r="X3" s="47">
        <v>12078604</v>
      </c>
      <c r="Y3" s="47">
        <v>10604028</v>
      </c>
      <c r="Z3" s="47">
        <v>12182365</v>
      </c>
      <c r="AA3" s="47">
        <v>10826486</v>
      </c>
      <c r="AB3" s="47">
        <v>12269080</v>
      </c>
      <c r="AC3" s="47">
        <v>7392187</v>
      </c>
      <c r="AD3" s="47">
        <v>7463589</v>
      </c>
      <c r="AE3" s="47">
        <v>5570565</v>
      </c>
      <c r="AF3" s="47">
        <v>8814256</v>
      </c>
      <c r="AG3" s="47">
        <v>1.5</v>
      </c>
    </row>
    <row r="4" spans="2:33" x14ac:dyDescent="0.3">
      <c r="B4" s="23" t="s">
        <v>69</v>
      </c>
      <c r="C4" s="23" t="s">
        <v>69</v>
      </c>
      <c r="D4" s="23" t="s">
        <v>103</v>
      </c>
      <c r="E4" s="23">
        <v>2021</v>
      </c>
      <c r="F4" s="23">
        <v>26507976</v>
      </c>
      <c r="G4" s="23">
        <v>18534851</v>
      </c>
      <c r="H4" s="23">
        <v>3220023</v>
      </c>
      <c r="I4" s="23">
        <v>2496923</v>
      </c>
      <c r="J4" s="23">
        <v>2244947</v>
      </c>
      <c r="K4" s="23">
        <v>34469869</v>
      </c>
      <c r="L4" s="23">
        <v>10092081</v>
      </c>
      <c r="M4" s="23">
        <v>12280518</v>
      </c>
      <c r="N4" s="23">
        <v>12097270</v>
      </c>
      <c r="O4" s="23">
        <v>9987477</v>
      </c>
      <c r="P4" s="23">
        <v>34469869</v>
      </c>
      <c r="Q4" s="23">
        <v>2266944</v>
      </c>
      <c r="R4" s="23">
        <v>3927821</v>
      </c>
      <c r="S4" s="23">
        <v>4737336</v>
      </c>
      <c r="T4" s="23">
        <v>1732214</v>
      </c>
      <c r="U4" s="23">
        <v>10344126069</v>
      </c>
      <c r="V4" s="23">
        <v>12027571</v>
      </c>
      <c r="W4" s="23">
        <v>11903342</v>
      </c>
      <c r="X4" s="23">
        <v>6923350</v>
      </c>
      <c r="Y4" s="23">
        <v>11716952</v>
      </c>
      <c r="Z4" s="23">
        <v>8633036</v>
      </c>
      <c r="AA4" s="23">
        <v>12274084</v>
      </c>
      <c r="AB4" s="23">
        <v>10085355</v>
      </c>
      <c r="AC4" s="23">
        <v>12260973</v>
      </c>
      <c r="AD4" s="23">
        <v>5830242</v>
      </c>
      <c r="AE4" s="23">
        <v>7040442</v>
      </c>
      <c r="AF4" s="23">
        <v>5868574</v>
      </c>
      <c r="AG4" s="23">
        <v>1.2</v>
      </c>
    </row>
    <row r="5" spans="2:33" x14ac:dyDescent="0.3">
      <c r="B5" s="23" t="s">
        <v>69</v>
      </c>
      <c r="C5" s="23" t="s">
        <v>69</v>
      </c>
      <c r="D5" s="23" t="s">
        <v>103</v>
      </c>
      <c r="E5" s="23">
        <v>2022</v>
      </c>
      <c r="F5" s="23">
        <v>43247849</v>
      </c>
      <c r="G5" s="23">
        <v>17446137</v>
      </c>
      <c r="H5" s="23">
        <v>3451940</v>
      </c>
      <c r="I5" s="23">
        <v>1894349</v>
      </c>
      <c r="J5" s="23">
        <v>1559349</v>
      </c>
      <c r="K5" s="23">
        <v>50153487</v>
      </c>
      <c r="L5" s="23">
        <v>11995377</v>
      </c>
      <c r="M5" s="23">
        <v>12471914</v>
      </c>
      <c r="N5" s="23">
        <v>25686196</v>
      </c>
      <c r="O5" s="23">
        <v>15274434</v>
      </c>
      <c r="P5" s="23">
        <v>50153487</v>
      </c>
      <c r="Q5" s="23">
        <v>3337077</v>
      </c>
      <c r="R5" s="23">
        <v>5562286</v>
      </c>
      <c r="S5" s="23">
        <v>4227832</v>
      </c>
      <c r="T5" s="23">
        <v>2371280</v>
      </c>
      <c r="U5" s="23">
        <v>13676199445</v>
      </c>
      <c r="V5" s="23">
        <v>12307806</v>
      </c>
      <c r="W5" s="23">
        <v>10451824</v>
      </c>
      <c r="X5" s="23">
        <v>6576021</v>
      </c>
      <c r="Y5" s="23">
        <v>9756791</v>
      </c>
      <c r="Z5" s="23">
        <v>8041795</v>
      </c>
      <c r="AA5" s="23">
        <v>7605189</v>
      </c>
      <c r="AB5" s="23">
        <v>10122843</v>
      </c>
      <c r="AC5" s="23">
        <v>5161444</v>
      </c>
      <c r="AD5" s="23">
        <v>5415764</v>
      </c>
      <c r="AE5" s="23">
        <v>7476637</v>
      </c>
      <c r="AF5" s="23">
        <v>6427730</v>
      </c>
      <c r="AG5" s="23">
        <v>1.7</v>
      </c>
    </row>
    <row r="6" spans="2:33" x14ac:dyDescent="0.3">
      <c r="B6" s="23" t="s">
        <v>69</v>
      </c>
      <c r="C6" s="23" t="s">
        <v>69</v>
      </c>
      <c r="D6" s="23" t="s">
        <v>103</v>
      </c>
      <c r="E6" s="23">
        <v>2023</v>
      </c>
      <c r="F6" s="23">
        <v>29186327</v>
      </c>
      <c r="G6" s="23">
        <v>18728254</v>
      </c>
      <c r="H6" s="23">
        <v>2465291</v>
      </c>
      <c r="I6" s="23">
        <v>3173043</v>
      </c>
      <c r="J6" s="23">
        <v>2923563</v>
      </c>
      <c r="K6" s="23">
        <v>37748224</v>
      </c>
      <c r="L6" s="23">
        <v>12204602</v>
      </c>
      <c r="M6" s="23">
        <v>12321407</v>
      </c>
      <c r="N6" s="23">
        <v>13222215</v>
      </c>
      <c r="O6" s="23">
        <v>1030180</v>
      </c>
      <c r="P6" s="23">
        <v>37748224</v>
      </c>
      <c r="Q6" s="23">
        <v>5177659</v>
      </c>
      <c r="R6" s="23">
        <v>2385510</v>
      </c>
      <c r="S6" s="23">
        <v>2070254</v>
      </c>
      <c r="T6" s="23">
        <v>4336336</v>
      </c>
      <c r="U6" s="23">
        <v>11860553179</v>
      </c>
      <c r="V6" s="23">
        <v>11120041</v>
      </c>
      <c r="W6" s="23">
        <v>11240475</v>
      </c>
      <c r="X6" s="23">
        <v>6633822</v>
      </c>
      <c r="Y6" s="23">
        <v>10214714</v>
      </c>
      <c r="Z6" s="23">
        <v>8638069</v>
      </c>
      <c r="AA6" s="23">
        <v>11593740</v>
      </c>
      <c r="AB6" s="23">
        <v>7591640</v>
      </c>
      <c r="AC6" s="23">
        <v>10921083</v>
      </c>
      <c r="AD6" s="23">
        <v>9034135</v>
      </c>
      <c r="AE6" s="23">
        <v>6137280</v>
      </c>
      <c r="AF6" s="23">
        <v>12354829</v>
      </c>
      <c r="AG6" s="23">
        <v>1.45</v>
      </c>
    </row>
    <row r="7" spans="2:33" x14ac:dyDescent="0.3">
      <c r="B7" s="23" t="s">
        <v>121</v>
      </c>
      <c r="C7" s="23" t="s">
        <v>121</v>
      </c>
      <c r="D7" s="23" t="s">
        <v>120</v>
      </c>
      <c r="E7" s="23">
        <v>2020</v>
      </c>
      <c r="F7" s="23">
        <v>41359203</v>
      </c>
      <c r="G7" s="23">
        <v>19069059</v>
      </c>
      <c r="H7" s="23">
        <v>3116591</v>
      </c>
      <c r="I7" s="23">
        <v>2115869</v>
      </c>
      <c r="J7" s="23">
        <v>1664173</v>
      </c>
      <c r="K7" s="23">
        <v>48255836</v>
      </c>
      <c r="L7" s="23">
        <v>12104251</v>
      </c>
      <c r="M7" s="23">
        <v>12336881</v>
      </c>
      <c r="N7" s="23">
        <v>23814704</v>
      </c>
      <c r="O7" s="23">
        <v>13308719</v>
      </c>
      <c r="P7" s="23">
        <v>48255836</v>
      </c>
      <c r="Q7" s="23">
        <v>3692124</v>
      </c>
      <c r="R7" s="23">
        <v>5503941</v>
      </c>
      <c r="S7" s="23">
        <v>4736681</v>
      </c>
      <c r="T7" s="23">
        <v>2697234</v>
      </c>
      <c r="U7" s="23">
        <v>22724383584</v>
      </c>
      <c r="V7" s="23">
        <v>13580255</v>
      </c>
      <c r="W7" s="23">
        <v>12109643</v>
      </c>
      <c r="X7" s="23">
        <v>5119316</v>
      </c>
      <c r="Y7" s="23">
        <v>8900923</v>
      </c>
      <c r="Z7" s="23">
        <v>6964802</v>
      </c>
      <c r="AA7" s="23">
        <v>10571004</v>
      </c>
      <c r="AB7" s="23">
        <v>7335823</v>
      </c>
      <c r="AC7" s="23">
        <v>6521813</v>
      </c>
      <c r="AD7" s="23">
        <v>7630395</v>
      </c>
      <c r="AE7" s="23">
        <v>7129902</v>
      </c>
      <c r="AF7" s="23">
        <v>5015825</v>
      </c>
      <c r="AG7" s="23">
        <v>1.5</v>
      </c>
    </row>
    <row r="8" spans="2:33" x14ac:dyDescent="0.3">
      <c r="B8" s="23" t="s">
        <v>121</v>
      </c>
      <c r="C8" s="23" t="s">
        <v>121</v>
      </c>
      <c r="D8" s="23" t="s">
        <v>120</v>
      </c>
      <c r="E8" s="23">
        <v>2021</v>
      </c>
      <c r="F8" s="23">
        <v>40263160</v>
      </c>
      <c r="G8" s="23">
        <v>18646694</v>
      </c>
      <c r="H8" s="23">
        <v>3201772</v>
      </c>
      <c r="I8" s="23">
        <v>3107267</v>
      </c>
      <c r="J8" s="23">
        <v>2557651</v>
      </c>
      <c r="K8" s="23">
        <v>49129850</v>
      </c>
      <c r="L8" s="23">
        <v>11128907</v>
      </c>
      <c r="M8" s="23">
        <v>12293651</v>
      </c>
      <c r="N8" s="23">
        <v>25707292</v>
      </c>
      <c r="O8" s="23">
        <v>14087644</v>
      </c>
      <c r="P8" s="23">
        <v>49129850</v>
      </c>
      <c r="Q8" s="23">
        <v>4782634</v>
      </c>
      <c r="R8" s="23">
        <v>3419478</v>
      </c>
      <c r="S8" s="23">
        <v>5869678</v>
      </c>
      <c r="T8" s="23">
        <v>4796352</v>
      </c>
      <c r="U8" s="23">
        <v>13571123440</v>
      </c>
      <c r="V8" s="23">
        <v>10520606</v>
      </c>
      <c r="W8" s="23">
        <v>11027669</v>
      </c>
      <c r="X8" s="23">
        <v>8827583</v>
      </c>
      <c r="Y8" s="23">
        <v>11981598</v>
      </c>
      <c r="Z8" s="23">
        <v>8971479</v>
      </c>
      <c r="AA8" s="23">
        <v>10873863</v>
      </c>
      <c r="AB8" s="23">
        <v>5897012</v>
      </c>
      <c r="AC8" s="23">
        <v>7881535</v>
      </c>
      <c r="AD8" s="23">
        <v>8873779</v>
      </c>
      <c r="AE8" s="23">
        <v>8355138</v>
      </c>
      <c r="AF8" s="23">
        <v>6635686</v>
      </c>
      <c r="AG8" s="23">
        <v>1.2</v>
      </c>
    </row>
    <row r="9" spans="2:33" x14ac:dyDescent="0.3">
      <c r="B9" s="23" t="s">
        <v>121</v>
      </c>
      <c r="C9" s="23" t="s">
        <v>121</v>
      </c>
      <c r="D9" s="23" t="s">
        <v>120</v>
      </c>
      <c r="E9" s="23">
        <v>2022</v>
      </c>
      <c r="F9" s="23">
        <v>43070216</v>
      </c>
      <c r="G9" s="23">
        <v>18573601</v>
      </c>
      <c r="H9" s="23">
        <v>2263779</v>
      </c>
      <c r="I9" s="23">
        <v>2541938</v>
      </c>
      <c r="J9" s="23">
        <v>2184752</v>
      </c>
      <c r="K9" s="23">
        <v>50060685</v>
      </c>
      <c r="L9" s="23">
        <v>10197218</v>
      </c>
      <c r="M9" s="23">
        <v>12355939</v>
      </c>
      <c r="N9" s="23">
        <v>27507528</v>
      </c>
      <c r="O9" s="23">
        <v>16123598</v>
      </c>
      <c r="P9" s="23">
        <v>50060685</v>
      </c>
      <c r="Q9" s="23">
        <v>2179070</v>
      </c>
      <c r="R9" s="23">
        <v>4351980</v>
      </c>
      <c r="S9" s="23">
        <v>2638642</v>
      </c>
      <c r="T9" s="23">
        <v>4660930</v>
      </c>
      <c r="U9" s="23">
        <v>8012435427</v>
      </c>
      <c r="V9" s="23">
        <v>12295996</v>
      </c>
      <c r="W9" s="23">
        <v>10090371</v>
      </c>
      <c r="X9" s="23">
        <v>7114205</v>
      </c>
      <c r="Y9" s="23">
        <v>9612303</v>
      </c>
      <c r="Z9" s="23">
        <v>11644409</v>
      </c>
      <c r="AA9" s="23">
        <v>5069960</v>
      </c>
      <c r="AB9" s="23">
        <v>9782226</v>
      </c>
      <c r="AC9" s="23">
        <v>10682715</v>
      </c>
      <c r="AD9" s="23">
        <v>11444056</v>
      </c>
      <c r="AE9" s="23">
        <v>5816140</v>
      </c>
      <c r="AF9" s="23">
        <v>11091664</v>
      </c>
      <c r="AG9" s="23">
        <v>1.7</v>
      </c>
    </row>
    <row r="10" spans="2:33" x14ac:dyDescent="0.3">
      <c r="B10" s="23" t="s">
        <v>122</v>
      </c>
      <c r="C10" s="23" t="s">
        <v>123</v>
      </c>
      <c r="D10" s="23" t="s">
        <v>120</v>
      </c>
      <c r="E10" s="23">
        <v>2020</v>
      </c>
      <c r="F10" s="23">
        <v>33911360</v>
      </c>
      <c r="G10" s="23">
        <v>15187270</v>
      </c>
      <c r="H10" s="23">
        <v>2535668</v>
      </c>
      <c r="I10" s="23">
        <v>2459483</v>
      </c>
      <c r="J10" s="23">
        <v>2423460</v>
      </c>
      <c r="K10" s="23">
        <v>41329971</v>
      </c>
      <c r="L10" s="23">
        <v>10793533</v>
      </c>
      <c r="M10" s="23">
        <v>12016764</v>
      </c>
      <c r="N10" s="23">
        <v>18519674</v>
      </c>
      <c r="O10" s="23">
        <v>6708799</v>
      </c>
      <c r="P10" s="23">
        <v>41329971</v>
      </c>
      <c r="Q10" s="23">
        <v>3120891</v>
      </c>
      <c r="R10" s="23">
        <v>3777364</v>
      </c>
      <c r="S10" s="23">
        <v>6080142</v>
      </c>
      <c r="T10" s="23">
        <v>6379384</v>
      </c>
      <c r="U10" s="23">
        <v>16390502651</v>
      </c>
      <c r="V10" s="23">
        <v>12280575</v>
      </c>
      <c r="W10" s="23">
        <v>12661417</v>
      </c>
      <c r="X10" s="23">
        <v>8594279</v>
      </c>
      <c r="Y10" s="23">
        <v>8802806</v>
      </c>
      <c r="Z10" s="23">
        <v>8602880</v>
      </c>
      <c r="AA10" s="23">
        <v>11558745</v>
      </c>
      <c r="AB10" s="23">
        <v>9407358</v>
      </c>
      <c r="AC10" s="23">
        <v>6915472</v>
      </c>
      <c r="AD10" s="23">
        <v>7310114</v>
      </c>
      <c r="AE10" s="23">
        <v>11816939</v>
      </c>
      <c r="AF10" s="23">
        <v>10231515</v>
      </c>
      <c r="AG10" s="23">
        <v>1.5</v>
      </c>
    </row>
    <row r="11" spans="2:33" x14ac:dyDescent="0.3">
      <c r="B11" s="23" t="s">
        <v>122</v>
      </c>
      <c r="C11" s="23" t="s">
        <v>123</v>
      </c>
      <c r="D11" s="23" t="s">
        <v>120</v>
      </c>
      <c r="E11" s="23">
        <v>2021</v>
      </c>
      <c r="F11" s="23">
        <v>42274078</v>
      </c>
      <c r="G11" s="23">
        <v>18151842</v>
      </c>
      <c r="H11" s="23">
        <v>2844268</v>
      </c>
      <c r="I11" s="23">
        <v>3074215</v>
      </c>
      <c r="J11" s="23">
        <v>2917586</v>
      </c>
      <c r="K11" s="23">
        <v>51110147</v>
      </c>
      <c r="L11" s="23">
        <v>11146758</v>
      </c>
      <c r="M11" s="23">
        <v>12407682</v>
      </c>
      <c r="N11" s="23">
        <v>27555707</v>
      </c>
      <c r="O11" s="23">
        <v>17240744</v>
      </c>
      <c r="P11" s="23">
        <v>51110147</v>
      </c>
      <c r="Q11" s="23">
        <v>1789786</v>
      </c>
      <c r="R11" s="23">
        <v>3327946</v>
      </c>
      <c r="S11" s="23">
        <v>1676251</v>
      </c>
      <c r="T11" s="23">
        <v>5040935</v>
      </c>
      <c r="U11" s="23">
        <v>13441891901</v>
      </c>
      <c r="V11" s="23">
        <v>14494268</v>
      </c>
      <c r="W11" s="23">
        <v>10531314</v>
      </c>
      <c r="X11" s="23">
        <v>10935319</v>
      </c>
      <c r="Y11" s="23">
        <v>7829593</v>
      </c>
      <c r="Z11" s="23">
        <v>11127596</v>
      </c>
      <c r="AA11" s="23">
        <v>12370243</v>
      </c>
      <c r="AB11" s="23">
        <v>9138013</v>
      </c>
      <c r="AC11" s="23">
        <v>11776668</v>
      </c>
      <c r="AD11" s="23">
        <v>5718866</v>
      </c>
      <c r="AE11" s="23">
        <v>8940518</v>
      </c>
      <c r="AF11" s="23">
        <v>6093781</v>
      </c>
      <c r="AG11" s="23">
        <v>1.2</v>
      </c>
    </row>
    <row r="12" spans="2:33" x14ac:dyDescent="0.3">
      <c r="B12" s="23" t="s">
        <v>124</v>
      </c>
      <c r="C12" s="23" t="s">
        <v>125</v>
      </c>
      <c r="D12" s="23" t="s">
        <v>120</v>
      </c>
      <c r="E12" s="23">
        <v>2020</v>
      </c>
      <c r="F12" s="23">
        <v>37167685</v>
      </c>
      <c r="G12" s="23">
        <v>19903034</v>
      </c>
      <c r="H12" s="23">
        <v>3197880</v>
      </c>
      <c r="I12" s="23">
        <v>2598646</v>
      </c>
      <c r="J12" s="23">
        <v>1303647</v>
      </c>
      <c r="K12" s="23">
        <v>44267858</v>
      </c>
      <c r="L12" s="23">
        <v>10887268</v>
      </c>
      <c r="M12" s="23">
        <v>12179649</v>
      </c>
      <c r="N12" s="23">
        <v>21200941</v>
      </c>
      <c r="O12" s="23">
        <v>9112812</v>
      </c>
      <c r="P12" s="23">
        <v>44267858</v>
      </c>
      <c r="Q12" s="23">
        <v>1653244</v>
      </c>
      <c r="R12" s="23">
        <v>6446068</v>
      </c>
      <c r="S12" s="23">
        <v>2016281</v>
      </c>
      <c r="T12" s="23">
        <v>3138274</v>
      </c>
      <c r="U12" s="23">
        <v>13757274760</v>
      </c>
      <c r="V12" s="23">
        <v>11946015</v>
      </c>
      <c r="W12" s="23">
        <v>12594393</v>
      </c>
      <c r="X12" s="23">
        <v>8813444</v>
      </c>
      <c r="Y12" s="23">
        <v>9478845</v>
      </c>
      <c r="Z12" s="23">
        <v>9676799</v>
      </c>
      <c r="AA12" s="23">
        <v>10581767</v>
      </c>
      <c r="AB12" s="23">
        <v>11258495</v>
      </c>
      <c r="AC12" s="23">
        <v>7711455</v>
      </c>
      <c r="AD12" s="23">
        <v>9255473</v>
      </c>
      <c r="AE12" s="23">
        <v>7800807</v>
      </c>
      <c r="AF12" s="23">
        <v>10388114</v>
      </c>
      <c r="AG12" s="23">
        <v>1.5</v>
      </c>
    </row>
    <row r="13" spans="2:33" x14ac:dyDescent="0.3">
      <c r="B13" s="23" t="s">
        <v>124</v>
      </c>
      <c r="C13" s="23" t="s">
        <v>125</v>
      </c>
      <c r="D13" s="23" t="s">
        <v>120</v>
      </c>
      <c r="E13" s="23">
        <v>2021</v>
      </c>
      <c r="F13" s="23">
        <v>40240470</v>
      </c>
      <c r="G13" s="23">
        <v>19306055</v>
      </c>
      <c r="H13" s="23">
        <v>3121612</v>
      </c>
      <c r="I13" s="23">
        <v>3614908</v>
      </c>
      <c r="J13" s="23">
        <v>2454660</v>
      </c>
      <c r="K13" s="23">
        <v>49431650</v>
      </c>
      <c r="L13" s="23">
        <v>11084383</v>
      </c>
      <c r="M13" s="23">
        <v>12886524</v>
      </c>
      <c r="N13" s="23">
        <v>25460743</v>
      </c>
      <c r="O13" s="23">
        <v>13869147</v>
      </c>
      <c r="P13" s="23">
        <v>49431650</v>
      </c>
      <c r="Q13" s="23">
        <v>2387735</v>
      </c>
      <c r="R13" s="23">
        <v>5505174</v>
      </c>
      <c r="S13" s="23">
        <v>3458780</v>
      </c>
      <c r="T13" s="23">
        <v>4694132</v>
      </c>
      <c r="U13" s="23">
        <v>9150730803</v>
      </c>
      <c r="V13" s="23">
        <v>13176022</v>
      </c>
      <c r="W13" s="23">
        <v>12648144</v>
      </c>
      <c r="X13" s="23">
        <v>11908165</v>
      </c>
      <c r="Y13" s="23">
        <v>8208666</v>
      </c>
      <c r="Z13" s="23">
        <v>11832748</v>
      </c>
      <c r="AA13" s="23">
        <v>7128161</v>
      </c>
      <c r="AB13" s="23">
        <v>11620236</v>
      </c>
      <c r="AC13" s="23">
        <v>10186613</v>
      </c>
      <c r="AD13" s="23">
        <v>10875540</v>
      </c>
      <c r="AE13" s="23">
        <v>10029392</v>
      </c>
      <c r="AF13" s="23">
        <v>6619336</v>
      </c>
      <c r="AG13" s="23">
        <v>1.2</v>
      </c>
    </row>
    <row r="14" spans="2:33" x14ac:dyDescent="0.3">
      <c r="B14" s="23" t="s">
        <v>126</v>
      </c>
      <c r="C14" s="23" t="s">
        <v>127</v>
      </c>
      <c r="D14" s="23" t="s">
        <v>120</v>
      </c>
      <c r="E14" s="23">
        <v>2020</v>
      </c>
      <c r="F14" s="23">
        <v>32024002</v>
      </c>
      <c r="G14" s="23">
        <v>15045538</v>
      </c>
      <c r="H14" s="23">
        <v>2572292</v>
      </c>
      <c r="I14" s="23">
        <v>2703037</v>
      </c>
      <c r="J14" s="23">
        <v>2100377</v>
      </c>
      <c r="K14" s="23">
        <v>39399708</v>
      </c>
      <c r="L14" s="23">
        <v>11753153</v>
      </c>
      <c r="M14" s="23">
        <v>12570309</v>
      </c>
      <c r="N14" s="23">
        <v>15076246</v>
      </c>
      <c r="O14" s="23">
        <v>4285226</v>
      </c>
      <c r="P14" s="23">
        <v>39399708</v>
      </c>
      <c r="Q14" s="23">
        <v>3713674</v>
      </c>
      <c r="R14" s="23">
        <v>3978676</v>
      </c>
      <c r="S14" s="23">
        <v>2431573</v>
      </c>
      <c r="T14" s="23">
        <v>2298233</v>
      </c>
      <c r="U14" s="23">
        <v>15183598224</v>
      </c>
      <c r="V14" s="23">
        <v>12308638</v>
      </c>
      <c r="W14" s="23">
        <v>14535909</v>
      </c>
      <c r="X14" s="23">
        <v>11051639</v>
      </c>
      <c r="Y14" s="23">
        <v>9693270</v>
      </c>
      <c r="Z14" s="23">
        <v>6256438</v>
      </c>
      <c r="AA14" s="23">
        <v>7040415</v>
      </c>
      <c r="AB14" s="23">
        <v>6964620</v>
      </c>
      <c r="AC14" s="23">
        <v>7125880</v>
      </c>
      <c r="AD14" s="23">
        <v>9240656</v>
      </c>
      <c r="AE14" s="23">
        <v>10295928</v>
      </c>
      <c r="AF14" s="23">
        <v>5215982</v>
      </c>
      <c r="AG14" s="23">
        <v>1.5</v>
      </c>
    </row>
    <row r="15" spans="2:33" x14ac:dyDescent="0.3">
      <c r="B15" s="23" t="s">
        <v>126</v>
      </c>
      <c r="C15" s="23" t="s">
        <v>127</v>
      </c>
      <c r="D15" s="23" t="s">
        <v>120</v>
      </c>
      <c r="E15" s="23">
        <v>2021</v>
      </c>
      <c r="F15" s="23">
        <v>46315895</v>
      </c>
      <c r="G15" s="23">
        <v>16201995</v>
      </c>
      <c r="H15" s="23">
        <v>2708639</v>
      </c>
      <c r="I15" s="23">
        <v>3318269</v>
      </c>
      <c r="J15" s="23">
        <v>2247735</v>
      </c>
      <c r="K15" s="23">
        <v>54590538</v>
      </c>
      <c r="L15" s="23">
        <v>12360749</v>
      </c>
      <c r="M15" s="23">
        <v>12435249</v>
      </c>
      <c r="N15" s="23">
        <v>29794540</v>
      </c>
      <c r="O15" s="23">
        <v>19146630</v>
      </c>
      <c r="P15" s="23">
        <v>54590538</v>
      </c>
      <c r="Q15" s="23">
        <v>3334445</v>
      </c>
      <c r="R15" s="23">
        <v>5387276</v>
      </c>
      <c r="S15" s="23">
        <v>5253944</v>
      </c>
      <c r="T15" s="23">
        <v>2473508</v>
      </c>
      <c r="U15" s="23">
        <v>15345793209</v>
      </c>
      <c r="V15" s="23">
        <v>12682535</v>
      </c>
      <c r="W15" s="23">
        <v>12831190</v>
      </c>
      <c r="X15" s="23">
        <v>6818040</v>
      </c>
      <c r="Y15" s="23">
        <v>5674631</v>
      </c>
      <c r="Z15" s="23">
        <v>9616227</v>
      </c>
      <c r="AA15" s="23">
        <v>10356901</v>
      </c>
      <c r="AB15" s="23">
        <v>5646640</v>
      </c>
      <c r="AC15" s="23">
        <v>5489885</v>
      </c>
      <c r="AD15" s="23">
        <v>10188509</v>
      </c>
      <c r="AE15" s="23">
        <v>5214665</v>
      </c>
      <c r="AF15" s="23">
        <v>11097004</v>
      </c>
      <c r="AG15" s="23">
        <v>1.2</v>
      </c>
    </row>
    <row r="16" spans="2:33" x14ac:dyDescent="0.3">
      <c r="B16" s="23" t="s">
        <v>126</v>
      </c>
      <c r="C16" s="23" t="s">
        <v>127</v>
      </c>
      <c r="D16" s="23" t="s">
        <v>120</v>
      </c>
      <c r="E16" s="23">
        <v>2022</v>
      </c>
      <c r="F16" s="23">
        <v>40612156</v>
      </c>
      <c r="G16" s="23">
        <v>18760362</v>
      </c>
      <c r="H16" s="23">
        <v>2864138</v>
      </c>
      <c r="I16" s="23">
        <v>1741821</v>
      </c>
      <c r="J16" s="23">
        <v>2860794</v>
      </c>
      <c r="K16" s="23">
        <v>48078909</v>
      </c>
      <c r="L16" s="23">
        <v>11714385</v>
      </c>
      <c r="M16" s="23">
        <v>12323962</v>
      </c>
      <c r="N16" s="23">
        <v>24040562</v>
      </c>
      <c r="O16" s="23">
        <v>11682028</v>
      </c>
      <c r="P16" s="23">
        <v>48078909</v>
      </c>
      <c r="Q16" s="23">
        <v>5405085</v>
      </c>
      <c r="R16" s="23">
        <v>6156983</v>
      </c>
      <c r="S16" s="23">
        <v>1748556</v>
      </c>
      <c r="T16" s="23">
        <v>5134605</v>
      </c>
      <c r="U16" s="23">
        <v>20524542517</v>
      </c>
      <c r="V16" s="23">
        <v>10460636</v>
      </c>
      <c r="W16" s="23">
        <v>12070441</v>
      </c>
      <c r="X16" s="23">
        <v>6267882</v>
      </c>
      <c r="Y16" s="23">
        <v>7670850</v>
      </c>
      <c r="Z16" s="23">
        <v>7394822</v>
      </c>
      <c r="AA16" s="23">
        <v>7323161</v>
      </c>
      <c r="AB16" s="23">
        <v>8749579</v>
      </c>
      <c r="AC16" s="23">
        <v>5203144</v>
      </c>
      <c r="AD16" s="23">
        <v>11504972</v>
      </c>
      <c r="AE16" s="23">
        <v>9720116</v>
      </c>
      <c r="AF16" s="23">
        <v>11437642</v>
      </c>
      <c r="AG16" s="23">
        <v>1.7</v>
      </c>
    </row>
    <row r="17" spans="2:33" x14ac:dyDescent="0.3">
      <c r="B17" s="23" t="s">
        <v>128</v>
      </c>
      <c r="C17" s="23" t="s">
        <v>129</v>
      </c>
      <c r="D17" s="23" t="s">
        <v>103</v>
      </c>
      <c r="E17" s="23">
        <v>2020</v>
      </c>
      <c r="F17" s="23">
        <v>33323900</v>
      </c>
      <c r="G17" s="23">
        <v>19678150</v>
      </c>
      <c r="H17" s="23">
        <v>2686161</v>
      </c>
      <c r="I17" s="23">
        <v>4470381</v>
      </c>
      <c r="J17" s="23">
        <v>2159743</v>
      </c>
      <c r="K17" s="23">
        <v>42640185</v>
      </c>
      <c r="L17" s="23">
        <v>10966445</v>
      </c>
      <c r="M17" s="23">
        <v>12775882</v>
      </c>
      <c r="N17" s="23">
        <v>18897858</v>
      </c>
      <c r="O17" s="23">
        <v>6902118</v>
      </c>
      <c r="P17" s="23">
        <v>42640185</v>
      </c>
      <c r="Q17" s="23">
        <v>3874629</v>
      </c>
      <c r="R17" s="23">
        <v>3046191</v>
      </c>
      <c r="S17" s="23">
        <v>2613087</v>
      </c>
      <c r="T17" s="23">
        <v>5456359</v>
      </c>
      <c r="U17" s="23">
        <v>9035081884</v>
      </c>
      <c r="V17" s="23">
        <v>11915375</v>
      </c>
      <c r="W17" s="23">
        <v>13323008</v>
      </c>
      <c r="X17" s="23">
        <v>6986556</v>
      </c>
      <c r="Y17" s="23">
        <v>9966577</v>
      </c>
      <c r="Z17" s="23">
        <v>11976832</v>
      </c>
      <c r="AA17" s="23">
        <v>5626698</v>
      </c>
      <c r="AB17" s="23">
        <v>6178761</v>
      </c>
      <c r="AC17" s="23">
        <v>6891073</v>
      </c>
      <c r="AD17" s="23">
        <v>8673195</v>
      </c>
      <c r="AE17" s="23">
        <v>8219538</v>
      </c>
      <c r="AF17" s="23">
        <v>10193793</v>
      </c>
      <c r="AG17" s="23">
        <v>1.5</v>
      </c>
    </row>
    <row r="18" spans="2:33" x14ac:dyDescent="0.3">
      <c r="B18" s="23" t="s">
        <v>128</v>
      </c>
      <c r="C18" s="23" t="s">
        <v>129</v>
      </c>
      <c r="D18" s="23" t="s">
        <v>103</v>
      </c>
      <c r="E18" s="23">
        <v>2021</v>
      </c>
      <c r="F18" s="23">
        <v>30640334</v>
      </c>
      <c r="G18" s="23">
        <v>16746447</v>
      </c>
      <c r="H18" s="23">
        <v>2682254</v>
      </c>
      <c r="I18" s="23">
        <v>4381498</v>
      </c>
      <c r="J18" s="23">
        <v>2907228</v>
      </c>
      <c r="K18" s="23">
        <v>40611314</v>
      </c>
      <c r="L18" s="23">
        <v>11726088</v>
      </c>
      <c r="M18" s="23">
        <v>12167128</v>
      </c>
      <c r="N18" s="23">
        <v>16718098</v>
      </c>
      <c r="O18" s="23">
        <v>6226991</v>
      </c>
      <c r="P18" s="23">
        <v>40611314</v>
      </c>
      <c r="Q18" s="23">
        <v>1814604</v>
      </c>
      <c r="R18" s="23">
        <v>3042564</v>
      </c>
      <c r="S18" s="23">
        <v>6025040</v>
      </c>
      <c r="T18" s="23">
        <v>2735528</v>
      </c>
      <c r="U18" s="23">
        <v>5655736827</v>
      </c>
      <c r="V18" s="23">
        <v>12919013</v>
      </c>
      <c r="W18" s="23">
        <v>14196685</v>
      </c>
      <c r="X18" s="23">
        <v>8604650</v>
      </c>
      <c r="Y18" s="23">
        <v>11570188</v>
      </c>
      <c r="Z18" s="23">
        <v>9343054</v>
      </c>
      <c r="AA18" s="23">
        <v>11135298</v>
      </c>
      <c r="AB18" s="23">
        <v>11459422</v>
      </c>
      <c r="AC18" s="23">
        <v>11521444</v>
      </c>
      <c r="AD18" s="23">
        <v>10306718</v>
      </c>
      <c r="AE18" s="23">
        <v>8334009</v>
      </c>
      <c r="AF18" s="23">
        <v>11135360</v>
      </c>
      <c r="AG18" s="23">
        <v>1.2</v>
      </c>
    </row>
    <row r="19" spans="2:33" x14ac:dyDescent="0.3">
      <c r="B19" s="23" t="s">
        <v>130</v>
      </c>
      <c r="C19" s="23" t="s">
        <v>130</v>
      </c>
      <c r="D19" s="23" t="s">
        <v>103</v>
      </c>
      <c r="E19" s="23">
        <v>2020</v>
      </c>
      <c r="F19" s="23">
        <v>49218361</v>
      </c>
      <c r="G19" s="23">
        <v>15795569</v>
      </c>
      <c r="H19" s="23">
        <v>2379449</v>
      </c>
      <c r="I19" s="23">
        <v>2158379</v>
      </c>
      <c r="J19" s="23">
        <v>1695704</v>
      </c>
      <c r="K19" s="23">
        <v>55451893</v>
      </c>
      <c r="L19" s="23">
        <v>11242629</v>
      </c>
      <c r="M19" s="23">
        <v>12849376</v>
      </c>
      <c r="N19" s="23">
        <v>31359888</v>
      </c>
      <c r="O19" s="23">
        <v>20167174</v>
      </c>
      <c r="P19" s="23">
        <v>55451893</v>
      </c>
      <c r="Q19" s="23">
        <v>3353135</v>
      </c>
      <c r="R19" s="23">
        <v>3003407</v>
      </c>
      <c r="S19" s="23">
        <v>1514406</v>
      </c>
      <c r="T19" s="23">
        <v>4983414</v>
      </c>
      <c r="U19" s="23">
        <v>548873375</v>
      </c>
      <c r="V19" s="23">
        <v>12199178</v>
      </c>
      <c r="W19" s="23">
        <v>14871470</v>
      </c>
      <c r="X19" s="23">
        <v>9001411</v>
      </c>
      <c r="Y19" s="23">
        <v>5763161</v>
      </c>
      <c r="Z19" s="23">
        <v>5471101</v>
      </c>
      <c r="AA19" s="23">
        <v>12049697</v>
      </c>
      <c r="AB19" s="23">
        <v>5038232</v>
      </c>
      <c r="AC19" s="23">
        <v>10962305</v>
      </c>
      <c r="AD19" s="23">
        <v>7779029</v>
      </c>
      <c r="AE19" s="23">
        <v>6210261</v>
      </c>
      <c r="AF19" s="23">
        <v>6147991</v>
      </c>
      <c r="AG19" s="23">
        <v>1.5</v>
      </c>
    </row>
    <row r="20" spans="2:33" x14ac:dyDescent="0.3">
      <c r="B20" s="23" t="s">
        <v>130</v>
      </c>
      <c r="C20" s="23" t="s">
        <v>130</v>
      </c>
      <c r="D20" s="23" t="s">
        <v>103</v>
      </c>
      <c r="E20" s="23">
        <v>2021</v>
      </c>
      <c r="F20" s="23">
        <v>31568838</v>
      </c>
      <c r="G20" s="23">
        <v>15812857</v>
      </c>
      <c r="H20" s="23">
        <v>1734230</v>
      </c>
      <c r="I20" s="23">
        <v>2151570</v>
      </c>
      <c r="J20" s="23">
        <v>1904794</v>
      </c>
      <c r="K20" s="23">
        <v>37359432</v>
      </c>
      <c r="L20" s="23">
        <v>12457521</v>
      </c>
      <c r="M20" s="23">
        <v>12565113</v>
      </c>
      <c r="N20" s="23">
        <v>12336798</v>
      </c>
      <c r="O20" s="23">
        <v>2061534</v>
      </c>
      <c r="P20" s="23">
        <v>37359432</v>
      </c>
      <c r="Q20" s="23">
        <v>2855056</v>
      </c>
      <c r="R20" s="23">
        <v>5956440</v>
      </c>
      <c r="S20" s="23">
        <v>1706727</v>
      </c>
      <c r="T20" s="23">
        <v>3207931</v>
      </c>
      <c r="U20" s="23">
        <v>18723054681</v>
      </c>
      <c r="V20" s="23">
        <v>14080802</v>
      </c>
      <c r="W20" s="23">
        <v>11306703</v>
      </c>
      <c r="X20" s="23">
        <v>11007483</v>
      </c>
      <c r="Y20" s="23">
        <v>9629742</v>
      </c>
      <c r="Z20" s="23">
        <v>7026554</v>
      </c>
      <c r="AA20" s="23">
        <v>11730151</v>
      </c>
      <c r="AB20" s="23">
        <v>8011036</v>
      </c>
      <c r="AC20" s="23">
        <v>6095621</v>
      </c>
      <c r="AD20" s="23">
        <v>7910182</v>
      </c>
      <c r="AE20" s="23">
        <v>10075476</v>
      </c>
      <c r="AF20" s="23">
        <v>8883075</v>
      </c>
      <c r="AG20" s="23">
        <v>1.2</v>
      </c>
    </row>
    <row r="21" spans="2:33" x14ac:dyDescent="0.3">
      <c r="B21" s="23" t="s">
        <v>130</v>
      </c>
      <c r="C21" s="23" t="s">
        <v>130</v>
      </c>
      <c r="D21" s="23" t="s">
        <v>103</v>
      </c>
      <c r="E21" s="23">
        <v>2022</v>
      </c>
      <c r="F21" s="23">
        <v>35568206</v>
      </c>
      <c r="G21" s="23">
        <v>16616371</v>
      </c>
      <c r="H21" s="23">
        <v>2239185</v>
      </c>
      <c r="I21" s="23">
        <v>2824383</v>
      </c>
      <c r="J21" s="23">
        <v>3127545</v>
      </c>
      <c r="K21" s="23">
        <v>43759319</v>
      </c>
      <c r="L21" s="23">
        <v>11715088</v>
      </c>
      <c r="M21" s="23">
        <v>12727695</v>
      </c>
      <c r="N21" s="23">
        <v>19316536</v>
      </c>
      <c r="O21" s="23">
        <v>7240446</v>
      </c>
      <c r="P21" s="23">
        <v>43759319</v>
      </c>
      <c r="Q21" s="23">
        <v>3908816</v>
      </c>
      <c r="R21" s="23">
        <v>2528989</v>
      </c>
      <c r="S21" s="23">
        <v>5728865</v>
      </c>
      <c r="T21" s="23">
        <v>5897149</v>
      </c>
      <c r="U21" s="23">
        <v>21600758122</v>
      </c>
      <c r="V21" s="23">
        <v>14218909</v>
      </c>
      <c r="W21" s="23">
        <v>10188589</v>
      </c>
      <c r="X21" s="23">
        <v>7758190</v>
      </c>
      <c r="Y21" s="23">
        <v>9248724</v>
      </c>
      <c r="Z21" s="23">
        <v>8345328</v>
      </c>
      <c r="AA21" s="23">
        <v>8230618</v>
      </c>
      <c r="AB21" s="23">
        <v>12040098</v>
      </c>
      <c r="AC21" s="23">
        <v>8593130</v>
      </c>
      <c r="AD21" s="23">
        <v>11215702</v>
      </c>
      <c r="AE21" s="23">
        <v>8780808</v>
      </c>
      <c r="AF21" s="23">
        <v>7493762</v>
      </c>
      <c r="AG21" s="23">
        <v>1.7</v>
      </c>
    </row>
    <row r="22" spans="2:33" x14ac:dyDescent="0.3">
      <c r="B22" s="23" t="s">
        <v>131</v>
      </c>
      <c r="C22" s="23" t="s">
        <v>132</v>
      </c>
      <c r="D22" s="23" t="s">
        <v>103</v>
      </c>
      <c r="E22" s="23">
        <v>2022</v>
      </c>
      <c r="F22" s="23">
        <v>47852862</v>
      </c>
      <c r="G22" s="23">
        <v>19745422</v>
      </c>
      <c r="H22" s="23">
        <v>3236956</v>
      </c>
      <c r="I22" s="23">
        <v>3722135</v>
      </c>
      <c r="J22" s="23">
        <v>1286885</v>
      </c>
      <c r="K22" s="23">
        <v>56098838</v>
      </c>
      <c r="L22" s="23">
        <v>12086083</v>
      </c>
      <c r="M22" s="23">
        <v>12504961</v>
      </c>
      <c r="N22" s="23">
        <v>31507794</v>
      </c>
      <c r="O22" s="23">
        <v>20272802</v>
      </c>
      <c r="P22" s="23">
        <v>56098838</v>
      </c>
      <c r="Q22" s="23">
        <v>4219309</v>
      </c>
      <c r="R22" s="23">
        <v>2733823</v>
      </c>
      <c r="S22" s="23">
        <v>5312306</v>
      </c>
      <c r="T22" s="23">
        <v>4963321</v>
      </c>
      <c r="U22" s="23">
        <v>2214404134</v>
      </c>
      <c r="V22" s="23">
        <v>12682607</v>
      </c>
      <c r="W22" s="23">
        <v>11718470</v>
      </c>
      <c r="X22" s="23">
        <v>6036367</v>
      </c>
      <c r="Y22" s="23">
        <v>11153444</v>
      </c>
      <c r="Z22" s="23">
        <v>10249630</v>
      </c>
      <c r="AA22" s="23">
        <v>12081072</v>
      </c>
      <c r="AB22" s="23">
        <v>10506057</v>
      </c>
      <c r="AC22" s="23">
        <v>5151121</v>
      </c>
      <c r="AD22" s="23">
        <v>10606838</v>
      </c>
      <c r="AE22" s="23">
        <v>8230905</v>
      </c>
      <c r="AF22" s="23">
        <v>9237116</v>
      </c>
      <c r="AG22" s="23">
        <v>1.7</v>
      </c>
    </row>
    <row r="23" spans="2:33" x14ac:dyDescent="0.3">
      <c r="B23" s="23" t="s">
        <v>133</v>
      </c>
      <c r="C23" s="23" t="s">
        <v>134</v>
      </c>
      <c r="D23" s="23" t="s">
        <v>119</v>
      </c>
      <c r="E23" s="23">
        <v>2020</v>
      </c>
      <c r="F23" s="23">
        <v>47781046</v>
      </c>
      <c r="G23" s="23">
        <v>15948894</v>
      </c>
      <c r="H23" s="23">
        <v>2217200</v>
      </c>
      <c r="I23" s="23">
        <v>4192968</v>
      </c>
      <c r="J23" s="23">
        <v>3066932</v>
      </c>
      <c r="K23" s="23">
        <v>57258146</v>
      </c>
      <c r="L23" s="23">
        <v>11069396</v>
      </c>
      <c r="M23" s="23">
        <v>12756749</v>
      </c>
      <c r="N23" s="23">
        <v>33432001</v>
      </c>
      <c r="O23" s="23">
        <v>23406911</v>
      </c>
      <c r="P23" s="23">
        <v>57258146</v>
      </c>
      <c r="Q23" s="23">
        <v>3372052</v>
      </c>
      <c r="R23" s="23">
        <v>3521782</v>
      </c>
      <c r="S23" s="23">
        <v>1527513</v>
      </c>
      <c r="T23" s="23">
        <v>3509004</v>
      </c>
      <c r="U23" s="23">
        <v>10554988879</v>
      </c>
      <c r="V23" s="23">
        <v>11148746</v>
      </c>
      <c r="W23" s="23">
        <v>13318156</v>
      </c>
      <c r="X23" s="23">
        <v>8908230</v>
      </c>
      <c r="Y23" s="23">
        <v>8079282</v>
      </c>
      <c r="Z23" s="23">
        <v>5358347</v>
      </c>
      <c r="AA23" s="23">
        <v>9239530</v>
      </c>
      <c r="AB23" s="23">
        <v>8295644</v>
      </c>
      <c r="AC23" s="23">
        <v>10293559</v>
      </c>
      <c r="AD23" s="23">
        <v>12185433</v>
      </c>
      <c r="AE23" s="23">
        <v>8305671</v>
      </c>
      <c r="AF23" s="23">
        <v>9720916</v>
      </c>
      <c r="AG23" s="23">
        <v>1.5</v>
      </c>
    </row>
    <row r="24" spans="2:33" x14ac:dyDescent="0.3">
      <c r="B24" s="23" t="s">
        <v>133</v>
      </c>
      <c r="C24" s="23" t="s">
        <v>134</v>
      </c>
      <c r="D24" s="23" t="s">
        <v>119</v>
      </c>
      <c r="E24" s="23">
        <v>2021</v>
      </c>
      <c r="F24" s="23">
        <v>28086874</v>
      </c>
      <c r="G24" s="23">
        <v>17060694</v>
      </c>
      <c r="H24" s="23">
        <v>2938011</v>
      </c>
      <c r="I24" s="23">
        <v>3468974</v>
      </c>
      <c r="J24" s="23">
        <v>2740276</v>
      </c>
      <c r="K24" s="23">
        <v>37234135</v>
      </c>
      <c r="L24" s="23">
        <v>10414087</v>
      </c>
      <c r="M24" s="23">
        <v>12214255</v>
      </c>
      <c r="N24" s="23">
        <v>14605793</v>
      </c>
      <c r="O24" s="23">
        <v>3866061</v>
      </c>
      <c r="P24" s="23">
        <v>37234135</v>
      </c>
      <c r="Q24" s="23">
        <v>6291522</v>
      </c>
      <c r="R24" s="23">
        <v>6175074</v>
      </c>
      <c r="S24" s="23">
        <v>6467195</v>
      </c>
      <c r="T24" s="23">
        <v>5510956</v>
      </c>
      <c r="U24" s="23">
        <v>16373879942</v>
      </c>
      <c r="V24" s="23">
        <v>12683307</v>
      </c>
      <c r="W24" s="23">
        <v>10310686</v>
      </c>
      <c r="X24" s="23">
        <v>12386097</v>
      </c>
      <c r="Y24" s="23">
        <v>6725535</v>
      </c>
      <c r="Z24" s="23">
        <v>10357380</v>
      </c>
      <c r="AA24" s="23">
        <v>9595646</v>
      </c>
      <c r="AB24" s="23">
        <v>5091520</v>
      </c>
      <c r="AC24" s="23">
        <v>7628531</v>
      </c>
      <c r="AD24" s="23">
        <v>6050104</v>
      </c>
      <c r="AE24" s="23">
        <v>5988962</v>
      </c>
      <c r="AF24" s="23">
        <v>6794234</v>
      </c>
      <c r="AG24" s="23">
        <v>1.2</v>
      </c>
    </row>
    <row r="25" spans="2:33" x14ac:dyDescent="0.3">
      <c r="B25" s="23" t="s">
        <v>135</v>
      </c>
      <c r="C25" s="23" t="s">
        <v>136</v>
      </c>
      <c r="D25" s="23" t="s">
        <v>119</v>
      </c>
      <c r="E25" s="23">
        <v>2020</v>
      </c>
      <c r="F25" s="23">
        <v>26554603</v>
      </c>
      <c r="G25" s="23">
        <v>18159627</v>
      </c>
      <c r="H25" s="23">
        <v>1878181</v>
      </c>
      <c r="I25" s="23">
        <v>4158403</v>
      </c>
      <c r="J25" s="23">
        <v>1637295</v>
      </c>
      <c r="K25" s="23">
        <v>34228482</v>
      </c>
      <c r="L25" s="23">
        <v>11453705</v>
      </c>
      <c r="M25" s="23">
        <v>12588577</v>
      </c>
      <c r="N25" s="23">
        <v>10186200</v>
      </c>
      <c r="O25" s="23">
        <v>7739594</v>
      </c>
      <c r="P25" s="23">
        <v>34228482</v>
      </c>
      <c r="Q25" s="23">
        <v>2348771</v>
      </c>
      <c r="R25" s="23">
        <v>3128446</v>
      </c>
      <c r="S25" s="23">
        <v>5265483</v>
      </c>
      <c r="T25" s="23">
        <v>3786371</v>
      </c>
      <c r="U25" s="23">
        <v>24849379108</v>
      </c>
      <c r="V25" s="23">
        <v>12023538</v>
      </c>
      <c r="W25" s="23">
        <v>14852983</v>
      </c>
      <c r="X25" s="23">
        <v>6095511</v>
      </c>
      <c r="Y25" s="23">
        <v>7158297</v>
      </c>
      <c r="Z25" s="23">
        <v>12145491</v>
      </c>
      <c r="AA25" s="23">
        <v>10838312</v>
      </c>
      <c r="AB25" s="23">
        <v>6365842</v>
      </c>
      <c r="AC25" s="23">
        <v>6706437</v>
      </c>
      <c r="AD25" s="23">
        <v>9384172</v>
      </c>
      <c r="AE25" s="23">
        <v>12179066</v>
      </c>
      <c r="AF25" s="23">
        <v>5223546</v>
      </c>
      <c r="AG25" s="23">
        <v>1.5</v>
      </c>
    </row>
    <row r="26" spans="2:33" x14ac:dyDescent="0.3">
      <c r="B26" s="23" t="s">
        <v>135</v>
      </c>
      <c r="C26" s="23" t="s">
        <v>136</v>
      </c>
      <c r="D26" s="23" t="s">
        <v>119</v>
      </c>
      <c r="E26" s="23">
        <v>2021</v>
      </c>
      <c r="F26" s="23">
        <v>33942110</v>
      </c>
      <c r="G26" s="23">
        <v>16761737</v>
      </c>
      <c r="H26" s="23">
        <v>2445691</v>
      </c>
      <c r="I26" s="23">
        <v>1700366</v>
      </c>
      <c r="J26" s="23">
        <v>1687879</v>
      </c>
      <c r="K26" s="23">
        <v>39776046</v>
      </c>
      <c r="L26" s="23">
        <v>11840334</v>
      </c>
      <c r="M26" s="23">
        <v>12436618</v>
      </c>
      <c r="N26" s="23">
        <v>15499094</v>
      </c>
      <c r="O26" s="23">
        <v>3073170</v>
      </c>
      <c r="P26" s="23">
        <v>39776046</v>
      </c>
      <c r="Q26" s="23">
        <v>6175845</v>
      </c>
      <c r="R26" s="23">
        <v>4287390</v>
      </c>
      <c r="S26" s="23">
        <v>5152895</v>
      </c>
      <c r="T26" s="23">
        <v>2680270</v>
      </c>
      <c r="U26" s="23">
        <v>17507970072</v>
      </c>
      <c r="V26" s="23">
        <v>13629018</v>
      </c>
      <c r="W26" s="23">
        <v>10335937</v>
      </c>
      <c r="X26" s="23">
        <v>10142150</v>
      </c>
      <c r="Y26" s="23">
        <v>10611091</v>
      </c>
      <c r="Z26" s="23">
        <v>8589872</v>
      </c>
      <c r="AA26" s="23">
        <v>6395279</v>
      </c>
      <c r="AB26" s="23">
        <v>8363084</v>
      </c>
      <c r="AC26" s="23">
        <v>9983127</v>
      </c>
      <c r="AD26" s="23">
        <v>6544336</v>
      </c>
      <c r="AE26" s="23">
        <v>9511284</v>
      </c>
      <c r="AF26" s="23">
        <v>9737013</v>
      </c>
      <c r="AG26" s="23">
        <v>1.2</v>
      </c>
    </row>
    <row r="27" spans="2:33" x14ac:dyDescent="0.3">
      <c r="B27" s="23" t="s">
        <v>137</v>
      </c>
      <c r="C27" s="23" t="s">
        <v>138</v>
      </c>
      <c r="D27" s="23" t="s">
        <v>119</v>
      </c>
      <c r="E27" s="23">
        <v>2020</v>
      </c>
      <c r="F27" s="23">
        <v>32344513</v>
      </c>
      <c r="G27" s="23">
        <v>19786218</v>
      </c>
      <c r="H27" s="23">
        <v>2727883</v>
      </c>
      <c r="I27" s="23">
        <v>3054790</v>
      </c>
      <c r="J27" s="23">
        <v>1977948</v>
      </c>
      <c r="K27" s="23">
        <v>40105134</v>
      </c>
      <c r="L27" s="23">
        <v>10847298</v>
      </c>
      <c r="M27" s="23">
        <v>12462440</v>
      </c>
      <c r="N27" s="23">
        <v>16795396</v>
      </c>
      <c r="O27" s="23">
        <v>5055926</v>
      </c>
      <c r="P27" s="23">
        <v>40105134</v>
      </c>
      <c r="Q27" s="23">
        <v>3673819</v>
      </c>
      <c r="R27" s="23">
        <v>1700762</v>
      </c>
      <c r="S27" s="23">
        <v>3407129</v>
      </c>
      <c r="T27" s="23">
        <v>2938228</v>
      </c>
      <c r="U27" s="23">
        <v>20237406468</v>
      </c>
      <c r="V27" s="23">
        <v>11706179</v>
      </c>
      <c r="W27" s="23">
        <v>10396570</v>
      </c>
      <c r="X27" s="23">
        <v>8670813</v>
      </c>
      <c r="Y27" s="23">
        <v>10304331</v>
      </c>
      <c r="Z27" s="23">
        <v>8536429</v>
      </c>
      <c r="AA27" s="23">
        <v>10705463</v>
      </c>
      <c r="AB27" s="23">
        <v>6813810</v>
      </c>
      <c r="AC27" s="23">
        <v>10676150</v>
      </c>
      <c r="AD27" s="23">
        <v>5903228</v>
      </c>
      <c r="AE27" s="23">
        <v>10190571</v>
      </c>
      <c r="AF27" s="23">
        <v>9489240</v>
      </c>
      <c r="AG27" s="23">
        <v>1.5</v>
      </c>
    </row>
    <row r="28" spans="2:33" x14ac:dyDescent="0.3">
      <c r="B28" s="23" t="s">
        <v>137</v>
      </c>
      <c r="C28" s="23" t="s">
        <v>138</v>
      </c>
      <c r="D28" s="23" t="s">
        <v>119</v>
      </c>
      <c r="E28" s="23">
        <v>2021</v>
      </c>
      <c r="F28" s="23">
        <v>42363350</v>
      </c>
      <c r="G28" s="23">
        <v>17874337</v>
      </c>
      <c r="H28" s="23">
        <v>1968474</v>
      </c>
      <c r="I28" s="23">
        <v>3963199</v>
      </c>
      <c r="J28" s="23">
        <v>2896998</v>
      </c>
      <c r="K28" s="23">
        <v>51192021</v>
      </c>
      <c r="L28" s="23">
        <v>11235609</v>
      </c>
      <c r="M28" s="23">
        <v>12151552</v>
      </c>
      <c r="N28" s="23">
        <v>27804860</v>
      </c>
      <c r="O28" s="23">
        <v>17308536</v>
      </c>
      <c r="P28" s="23">
        <v>51192021</v>
      </c>
      <c r="Q28" s="23">
        <v>2850610</v>
      </c>
      <c r="R28" s="23">
        <v>6094620</v>
      </c>
      <c r="S28" s="23">
        <v>5342255</v>
      </c>
      <c r="T28" s="23">
        <v>5700817</v>
      </c>
      <c r="U28" s="23">
        <v>16969487671</v>
      </c>
      <c r="V28" s="23">
        <v>14742354</v>
      </c>
      <c r="W28" s="23">
        <v>14875159</v>
      </c>
      <c r="X28" s="23">
        <v>12470274</v>
      </c>
      <c r="Y28" s="23">
        <v>6752428</v>
      </c>
      <c r="Z28" s="23">
        <v>5143464</v>
      </c>
      <c r="AA28" s="23">
        <v>10404418</v>
      </c>
      <c r="AB28" s="23">
        <v>7548487</v>
      </c>
      <c r="AC28" s="23">
        <v>11454574</v>
      </c>
      <c r="AD28" s="23">
        <v>7286195</v>
      </c>
      <c r="AE28" s="23">
        <v>5407854</v>
      </c>
      <c r="AF28" s="23">
        <v>8178434</v>
      </c>
      <c r="AG28" s="23">
        <v>1.2</v>
      </c>
    </row>
    <row r="29" spans="2:33" x14ac:dyDescent="0.3">
      <c r="B29" s="23" t="s">
        <v>139</v>
      </c>
      <c r="C29" s="23" t="s">
        <v>139</v>
      </c>
      <c r="D29" s="23" t="s">
        <v>119</v>
      </c>
      <c r="E29" s="23">
        <v>2020</v>
      </c>
      <c r="F29" s="23">
        <v>26770219</v>
      </c>
      <c r="G29" s="23">
        <v>19269996</v>
      </c>
      <c r="H29" s="23">
        <v>3378917</v>
      </c>
      <c r="I29" s="23">
        <v>2391035</v>
      </c>
      <c r="J29" s="23">
        <v>2645591</v>
      </c>
      <c r="K29" s="23">
        <v>35185762</v>
      </c>
      <c r="L29" s="23">
        <v>11236858</v>
      </c>
      <c r="M29" s="23">
        <v>12957166</v>
      </c>
      <c r="N29" s="23">
        <v>10991738</v>
      </c>
      <c r="O29" s="23">
        <v>7277253</v>
      </c>
      <c r="P29" s="23">
        <v>35185762</v>
      </c>
      <c r="Q29" s="23">
        <v>4188471</v>
      </c>
      <c r="R29" s="23">
        <v>3854379</v>
      </c>
      <c r="S29" s="23">
        <v>2073033</v>
      </c>
      <c r="T29" s="23">
        <v>6026168</v>
      </c>
      <c r="U29" s="23">
        <v>17607854785</v>
      </c>
      <c r="V29" s="23">
        <v>14481003</v>
      </c>
      <c r="W29" s="23">
        <v>13525245</v>
      </c>
      <c r="X29" s="23">
        <v>7612251</v>
      </c>
      <c r="Y29" s="23">
        <v>9778885</v>
      </c>
      <c r="Z29" s="23">
        <v>9657974</v>
      </c>
      <c r="AA29" s="23">
        <v>7521971</v>
      </c>
      <c r="AB29" s="23">
        <v>11751383</v>
      </c>
      <c r="AC29" s="23">
        <v>12327314</v>
      </c>
      <c r="AD29" s="23">
        <v>10181076</v>
      </c>
      <c r="AE29" s="23">
        <v>9262395</v>
      </c>
      <c r="AF29" s="23">
        <v>6253795</v>
      </c>
      <c r="AG29" s="23">
        <v>1.5</v>
      </c>
    </row>
    <row r="30" spans="2:33" x14ac:dyDescent="0.3">
      <c r="B30" s="23" t="s">
        <v>139</v>
      </c>
      <c r="C30" s="23" t="s">
        <v>139</v>
      </c>
      <c r="D30" s="23" t="s">
        <v>119</v>
      </c>
      <c r="E30" s="23">
        <v>2021</v>
      </c>
      <c r="F30" s="23">
        <v>38744626</v>
      </c>
      <c r="G30" s="23">
        <v>17003563</v>
      </c>
      <c r="H30" s="23">
        <v>2829449</v>
      </c>
      <c r="I30" s="23">
        <v>2625496</v>
      </c>
      <c r="J30" s="23">
        <v>2302985</v>
      </c>
      <c r="K30" s="23">
        <v>46502556</v>
      </c>
      <c r="L30" s="23">
        <v>12135707</v>
      </c>
      <c r="M30" s="23">
        <v>12403821</v>
      </c>
      <c r="N30" s="23">
        <v>21963028</v>
      </c>
      <c r="O30" s="23">
        <v>10964059</v>
      </c>
      <c r="P30" s="23">
        <v>46502556</v>
      </c>
      <c r="Q30" s="23">
        <v>4793974</v>
      </c>
      <c r="R30" s="23">
        <v>2119384</v>
      </c>
      <c r="S30" s="23">
        <v>4856272</v>
      </c>
      <c r="T30" s="23">
        <v>5450114</v>
      </c>
      <c r="U30" s="23">
        <v>16886892220</v>
      </c>
      <c r="V30" s="23">
        <v>12679561</v>
      </c>
      <c r="W30" s="23">
        <v>11788878</v>
      </c>
      <c r="X30" s="23">
        <v>7087135</v>
      </c>
      <c r="Y30" s="23">
        <v>6020564</v>
      </c>
      <c r="Z30" s="23">
        <v>7975619</v>
      </c>
      <c r="AA30" s="23">
        <v>7463676</v>
      </c>
      <c r="AB30" s="23">
        <v>5961883</v>
      </c>
      <c r="AC30" s="23">
        <v>5821850</v>
      </c>
      <c r="AD30" s="23">
        <v>11422955</v>
      </c>
      <c r="AE30" s="23">
        <v>6717486</v>
      </c>
      <c r="AF30" s="23">
        <v>10326691</v>
      </c>
      <c r="AG30" s="23">
        <v>1.2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9:AQ23"/>
  <sheetViews>
    <sheetView zoomScale="80" zoomScaleNormal="80" workbookViewId="0">
      <selection activeCell="I11" sqref="I11:J15"/>
    </sheetView>
  </sheetViews>
  <sheetFormatPr baseColWidth="10" defaultRowHeight="14.4" x14ac:dyDescent="0.3"/>
  <cols>
    <col min="1" max="1" width="12.21875" customWidth="1"/>
    <col min="2" max="2" width="15" customWidth="1"/>
    <col min="3" max="3" width="13.77734375" customWidth="1"/>
    <col min="4" max="4" width="12" customWidth="1"/>
    <col min="5" max="5" width="12.44140625" customWidth="1"/>
    <col min="6" max="6" width="21" bestFit="1" customWidth="1"/>
    <col min="7" max="7" width="25" customWidth="1"/>
    <col min="8" max="8" width="12.44140625" bestFit="1" customWidth="1"/>
    <col min="9" max="9" width="21" customWidth="1"/>
    <col min="10" max="10" width="10.5546875" customWidth="1"/>
    <col min="11" max="11" width="12.88671875" bestFit="1" customWidth="1"/>
    <col min="12" max="12" width="21" customWidth="1"/>
    <col min="13" max="13" width="22.33203125" bestFit="1" customWidth="1"/>
    <col min="14" max="14" width="21" customWidth="1"/>
    <col min="15" max="15" width="22.33203125" bestFit="1" customWidth="1"/>
    <col min="16" max="16" width="32.44140625" bestFit="1" customWidth="1"/>
    <col min="17" max="17" width="22.33203125" bestFit="1" customWidth="1"/>
    <col min="18" max="18" width="11.88671875" bestFit="1" customWidth="1"/>
    <col min="19" max="19" width="34" bestFit="1" customWidth="1"/>
    <col min="20" max="21" width="22.33203125" bestFit="1" customWidth="1"/>
    <col min="22" max="22" width="34.21875" bestFit="1" customWidth="1"/>
    <col min="23" max="24" width="22.33203125" bestFit="1" customWidth="1"/>
    <col min="25" max="25" width="25.6640625" bestFit="1" customWidth="1"/>
    <col min="28" max="28" width="28.21875" bestFit="1" customWidth="1"/>
    <col min="32" max="32" width="21" bestFit="1" customWidth="1"/>
    <col min="33" max="33" width="24" bestFit="1" customWidth="1"/>
    <col min="35" max="35" width="21" customWidth="1"/>
    <col min="36" max="36" width="24" bestFit="1" customWidth="1"/>
    <col min="37" max="37" width="21" bestFit="1" customWidth="1"/>
    <col min="38" max="38" width="14.5546875" customWidth="1"/>
    <col min="40" max="40" width="15.109375" bestFit="1" customWidth="1"/>
    <col min="43" max="43" width="21" bestFit="1" customWidth="1"/>
  </cols>
  <sheetData>
    <row r="9" spans="1:43" x14ac:dyDescent="0.3">
      <c r="F9" s="44" t="s">
        <v>113</v>
      </c>
      <c r="G9" s="28">
        <f>GETPIVOTDATA("CF",$F$11)</f>
        <v>174938522102</v>
      </c>
      <c r="I9" s="43" t="s">
        <v>114</v>
      </c>
      <c r="J9" s="28">
        <f>GETPIVOTDATA("CQ",$I$11)</f>
        <v>86694973</v>
      </c>
      <c r="AF9" s="43" t="s">
        <v>115</v>
      </c>
      <c r="AG9" s="28">
        <f>GETPIVOTDATA("CG",$AF$10)</f>
        <v>137931477</v>
      </c>
      <c r="AI9" t="str">
        <f>"En " &amp;AI11</f>
        <v>En 2020</v>
      </c>
      <c r="AK9" s="42"/>
    </row>
    <row r="10" spans="1:43" x14ac:dyDescent="0.3">
      <c r="L10" t="str">
        <f>IF(L12="Total général","",L12)</f>
        <v>STELLIMAC</v>
      </c>
      <c r="N10">
        <f>IF(N12="Total général","",N12)</f>
        <v>2020</v>
      </c>
      <c r="P10" s="4" t="s">
        <v>72</v>
      </c>
      <c r="Q10" s="4" t="s">
        <v>81</v>
      </c>
      <c r="S10" s="4" t="s">
        <v>82</v>
      </c>
      <c r="T10" s="4" t="s">
        <v>81</v>
      </c>
      <c r="V10" s="4" t="s">
        <v>95</v>
      </c>
      <c r="W10" s="4" t="s">
        <v>81</v>
      </c>
      <c r="Y10" s="4" t="s">
        <v>96</v>
      </c>
      <c r="Z10" s="4" t="s">
        <v>81</v>
      </c>
      <c r="AB10" s="4" t="s">
        <v>99</v>
      </c>
      <c r="AC10" s="4" t="s">
        <v>81</v>
      </c>
      <c r="AF10" s="27" t="s">
        <v>71</v>
      </c>
      <c r="AG10" t="s">
        <v>108</v>
      </c>
      <c r="AI10" s="27" t="s">
        <v>71</v>
      </c>
      <c r="AK10" s="27" t="s">
        <v>71</v>
      </c>
      <c r="AL10" t="s">
        <v>116</v>
      </c>
      <c r="AN10" s="44" t="s">
        <v>117</v>
      </c>
      <c r="AO10" s="28">
        <f>COUNTA(AL:AL)-2</f>
        <v>12</v>
      </c>
    </row>
    <row r="11" spans="1:43" x14ac:dyDescent="0.3">
      <c r="B11" t="s">
        <v>18</v>
      </c>
      <c r="C11" t="s">
        <v>19</v>
      </c>
      <c r="D11" t="s">
        <v>105</v>
      </c>
      <c r="F11" s="27" t="s">
        <v>71</v>
      </c>
      <c r="G11" t="s">
        <v>107</v>
      </c>
      <c r="I11" s="27" t="s">
        <v>71</v>
      </c>
      <c r="J11" t="s">
        <v>112</v>
      </c>
      <c r="L11" s="27" t="s">
        <v>71</v>
      </c>
      <c r="N11" s="27" t="s">
        <v>71</v>
      </c>
      <c r="P11" s="6" t="s">
        <v>73</v>
      </c>
      <c r="Q11" s="7">
        <v>-7700540</v>
      </c>
      <c r="S11" s="6" t="s">
        <v>102</v>
      </c>
      <c r="T11" s="7">
        <v>15183598224</v>
      </c>
      <c r="V11" s="6" t="s">
        <v>91</v>
      </c>
      <c r="W11" s="29">
        <v>1.5136286972921155E-4</v>
      </c>
      <c r="Y11" s="6" t="s">
        <v>97</v>
      </c>
      <c r="Z11" s="29">
        <v>0.3499099842228629</v>
      </c>
      <c r="AB11" s="6" t="s">
        <v>100</v>
      </c>
      <c r="AC11" s="7">
        <v>1.5</v>
      </c>
      <c r="AF11" s="28" t="s">
        <v>103</v>
      </c>
      <c r="AG11" s="48">
        <v>38456528</v>
      </c>
      <c r="AI11" s="28">
        <v>2020</v>
      </c>
      <c r="AK11" s="28" t="s">
        <v>69</v>
      </c>
      <c r="AL11">
        <v>4</v>
      </c>
      <c r="AQ11" s="28"/>
    </row>
    <row r="12" spans="1:43" x14ac:dyDescent="0.3">
      <c r="A12" s="28">
        <v>2020</v>
      </c>
      <c r="B12">
        <v>12308638</v>
      </c>
      <c r="C12">
        <v>5215982</v>
      </c>
      <c r="D12">
        <v>15183598224</v>
      </c>
      <c r="F12" s="28" t="s">
        <v>103</v>
      </c>
      <c r="G12" s="48">
        <v>33633133643</v>
      </c>
      <c r="I12" s="28" t="s">
        <v>103</v>
      </c>
      <c r="J12" s="48">
        <v>25156040</v>
      </c>
      <c r="L12" s="28" t="s">
        <v>126</v>
      </c>
      <c r="N12" s="28">
        <v>2020</v>
      </c>
      <c r="P12" s="6" t="s">
        <v>74</v>
      </c>
      <c r="Q12" s="7">
        <v>-9800917</v>
      </c>
      <c r="S12" s="6" t="s">
        <v>83</v>
      </c>
      <c r="T12" s="7">
        <v>12308638</v>
      </c>
      <c r="V12" s="6" t="s">
        <v>92</v>
      </c>
      <c r="W12" s="29">
        <v>-7.2094189124447322E-3</v>
      </c>
      <c r="Y12" s="6" t="s">
        <v>98</v>
      </c>
      <c r="Z12" s="29">
        <v>5275328.8293811334</v>
      </c>
      <c r="AB12" s="6" t="s">
        <v>77</v>
      </c>
      <c r="AC12" s="7">
        <v>0.36701075024914126</v>
      </c>
      <c r="AF12" s="28" t="s">
        <v>120</v>
      </c>
      <c r="AG12" s="48">
        <v>50115483</v>
      </c>
      <c r="AI12" s="28" t="s">
        <v>70</v>
      </c>
      <c r="AK12" s="28" t="s">
        <v>121</v>
      </c>
      <c r="AL12">
        <v>3</v>
      </c>
      <c r="AQ12" s="28"/>
    </row>
    <row r="13" spans="1:43" x14ac:dyDescent="0.3">
      <c r="A13" s="28">
        <v>2021</v>
      </c>
      <c r="B13">
        <v>12682535</v>
      </c>
      <c r="C13">
        <v>11097004</v>
      </c>
      <c r="D13">
        <v>15345793209</v>
      </c>
      <c r="F13" s="28" t="s">
        <v>120</v>
      </c>
      <c r="G13" s="48">
        <v>68055759219</v>
      </c>
      <c r="I13" s="28" t="s">
        <v>120</v>
      </c>
      <c r="J13" s="48">
        <v>30851436</v>
      </c>
      <c r="L13" s="28" t="s">
        <v>70</v>
      </c>
      <c r="N13" s="28" t="s">
        <v>70</v>
      </c>
      <c r="P13" s="6" t="s">
        <v>75</v>
      </c>
      <c r="Q13" s="7">
        <v>2100377</v>
      </c>
      <c r="S13" s="6" t="s">
        <v>84</v>
      </c>
      <c r="T13" s="7">
        <v>14535909</v>
      </c>
      <c r="V13" s="6" t="s">
        <v>93</v>
      </c>
      <c r="W13" s="29">
        <v>-2.4167897754755682E-2</v>
      </c>
      <c r="AB13" s="6" t="s">
        <v>101</v>
      </c>
      <c r="AC13" s="7">
        <v>1.8015608419328787E-3</v>
      </c>
      <c r="AF13" s="28" t="s">
        <v>119</v>
      </c>
      <c r="AG13" s="48">
        <v>49359466</v>
      </c>
      <c r="AK13" s="28" t="s">
        <v>122</v>
      </c>
      <c r="AL13">
        <v>2</v>
      </c>
      <c r="AQ13" s="28"/>
    </row>
    <row r="14" spans="1:43" x14ac:dyDescent="0.3">
      <c r="A14" s="28">
        <v>2022</v>
      </c>
      <c r="B14">
        <v>10460636</v>
      </c>
      <c r="C14">
        <v>11437642</v>
      </c>
      <c r="D14">
        <v>20524542517</v>
      </c>
      <c r="F14" s="28" t="s">
        <v>119</v>
      </c>
      <c r="G14" s="48">
        <v>73249629240</v>
      </c>
      <c r="I14" s="28" t="s">
        <v>119</v>
      </c>
      <c r="J14" s="48">
        <v>30687497</v>
      </c>
      <c r="P14" s="6" t="s">
        <v>76</v>
      </c>
      <c r="Q14" s="7">
        <v>0.77958087178996682</v>
      </c>
      <c r="S14" s="6" t="s">
        <v>85</v>
      </c>
      <c r="T14" s="7">
        <v>11051639</v>
      </c>
      <c r="V14" s="6" t="s">
        <v>94</v>
      </c>
      <c r="W14" s="29">
        <v>0.44379427375785885</v>
      </c>
      <c r="AF14" s="28" t="s">
        <v>70</v>
      </c>
      <c r="AG14" s="48">
        <v>137931477</v>
      </c>
      <c r="AK14" s="28" t="s">
        <v>124</v>
      </c>
      <c r="AL14">
        <v>2</v>
      </c>
      <c r="AQ14" s="28"/>
    </row>
    <row r="15" spans="1:43" x14ac:dyDescent="0.3">
      <c r="A15" s="28" t="s">
        <v>70</v>
      </c>
      <c r="B15">
        <v>35451809</v>
      </c>
      <c r="C15">
        <v>27750628</v>
      </c>
      <c r="D15">
        <v>51053933950</v>
      </c>
      <c r="F15" s="28" t="s">
        <v>70</v>
      </c>
      <c r="G15" s="48">
        <v>174938522102</v>
      </c>
      <c r="I15" s="28" t="s">
        <v>70</v>
      </c>
      <c r="J15" s="48">
        <v>86694973</v>
      </c>
      <c r="P15" s="6" t="s">
        <v>77</v>
      </c>
      <c r="Q15" s="7">
        <v>0.36701075024914126</v>
      </c>
      <c r="S15" s="6" t="s">
        <v>86</v>
      </c>
      <c r="T15" s="7">
        <v>6964620</v>
      </c>
      <c r="AK15" s="28" t="s">
        <v>126</v>
      </c>
      <c r="AL15">
        <v>3</v>
      </c>
    </row>
    <row r="16" spans="1:43" x14ac:dyDescent="0.3">
      <c r="P16" s="6" t="s">
        <v>78</v>
      </c>
      <c r="Q16" s="7">
        <v>0.48320230894763255</v>
      </c>
      <c r="S16" s="6" t="s">
        <v>87</v>
      </c>
      <c r="T16" s="7">
        <v>10295928</v>
      </c>
      <c r="AK16" s="28" t="s">
        <v>128</v>
      </c>
      <c r="AL16">
        <v>2</v>
      </c>
    </row>
    <row r="17" spans="16:38" x14ac:dyDescent="0.3">
      <c r="P17" s="6" t="s">
        <v>79</v>
      </c>
      <c r="Q17" s="7">
        <v>2.352267089520574</v>
      </c>
      <c r="S17" s="6" t="s">
        <v>88</v>
      </c>
      <c r="T17" s="7">
        <v>5215982</v>
      </c>
      <c r="AK17" s="28" t="s">
        <v>130</v>
      </c>
      <c r="AL17">
        <v>3</v>
      </c>
    </row>
    <row r="18" spans="16:38" x14ac:dyDescent="0.3">
      <c r="P18" s="6" t="s">
        <v>80</v>
      </c>
      <c r="Q18" s="7">
        <v>-36.859598167921732</v>
      </c>
      <c r="S18" s="6" t="s">
        <v>89</v>
      </c>
      <c r="T18" s="7">
        <v>6.4088452924279643E-2</v>
      </c>
      <c r="AK18" s="28" t="s">
        <v>131</v>
      </c>
      <c r="AL18">
        <v>1</v>
      </c>
    </row>
    <row r="19" spans="16:38" x14ac:dyDescent="0.3">
      <c r="S19" s="6" t="s">
        <v>90</v>
      </c>
      <c r="T19" s="7">
        <v>387.73736790831924</v>
      </c>
      <c r="AK19" s="28" t="s">
        <v>133</v>
      </c>
      <c r="AL19">
        <v>2</v>
      </c>
    </row>
    <row r="20" spans="16:38" x14ac:dyDescent="0.3">
      <c r="AK20" s="28" t="s">
        <v>135</v>
      </c>
      <c r="AL20">
        <v>2</v>
      </c>
    </row>
    <row r="21" spans="16:38" x14ac:dyDescent="0.3">
      <c r="AK21" s="28" t="s">
        <v>137</v>
      </c>
      <c r="AL21">
        <v>2</v>
      </c>
    </row>
    <row r="22" spans="16:38" x14ac:dyDescent="0.3">
      <c r="AK22" s="28" t="s">
        <v>139</v>
      </c>
      <c r="AL22">
        <v>2</v>
      </c>
    </row>
    <row r="23" spans="16:38" x14ac:dyDescent="0.3">
      <c r="AK23" s="28" t="s">
        <v>70</v>
      </c>
      <c r="AL23">
        <v>28</v>
      </c>
    </row>
  </sheetData>
  <pageMargins left="0.7" right="0.7" top="0.75" bottom="0.75" header="0.3" footer="0.3"/>
  <pageSetup paperSize="9" orientation="portrait" r:id="rId9"/>
  <drawing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1:U49"/>
  <sheetViews>
    <sheetView tabSelected="1" workbookViewId="0">
      <selection activeCell="R15" sqref="R15"/>
    </sheetView>
  </sheetViews>
  <sheetFormatPr baseColWidth="10" defaultRowHeight="14.4" x14ac:dyDescent="0.3"/>
  <cols>
    <col min="1" max="1" width="11.5546875" style="30"/>
    <col min="2" max="2" width="11.5546875" style="30" customWidth="1"/>
    <col min="3" max="3" width="11.5546875" style="30"/>
    <col min="4" max="4" width="2.5546875" style="30" customWidth="1"/>
    <col min="5" max="5" width="11.5546875" style="30"/>
    <col min="6" max="6" width="8.6640625" style="30" customWidth="1"/>
    <col min="7" max="7" width="5.109375" style="30" customWidth="1"/>
    <col min="8" max="8" width="2.6640625" style="30" customWidth="1"/>
    <col min="9" max="9" width="4.5546875" style="30" customWidth="1"/>
    <col min="10" max="11" width="11.5546875" style="30"/>
    <col min="12" max="12" width="3.5546875" style="30" customWidth="1"/>
    <col min="13" max="13" width="3.6640625" style="30" customWidth="1"/>
    <col min="14" max="15" width="11.5546875" style="30"/>
    <col min="16" max="16" width="1.88671875" style="30" customWidth="1"/>
    <col min="17" max="16384" width="11.5546875" style="30"/>
  </cols>
  <sheetData>
    <row r="1" spans="2:2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spans="2:21" ht="10.199999999999999" customHeight="1" thickBot="1" x14ac:dyDescent="0.35"/>
    <row r="3" spans="2:21" ht="39.6" customHeight="1" thickBot="1" x14ac:dyDescent="0.35">
      <c r="B3" s="31"/>
      <c r="C3" s="34" t="s">
        <v>104</v>
      </c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3"/>
    </row>
    <row r="10" spans="2:21" ht="15" thickBot="1" x14ac:dyDescent="0.35">
      <c r="B10" s="4" t="s">
        <v>3</v>
      </c>
      <c r="C10" s="4"/>
      <c r="E10" s="4" t="s">
        <v>109</v>
      </c>
      <c r="F10" s="4"/>
      <c r="G10" s="4"/>
      <c r="H10" s="4"/>
      <c r="J10" s="4" t="s">
        <v>110</v>
      </c>
      <c r="K10" s="4"/>
      <c r="L10" s="4"/>
      <c r="N10" s="4" t="s">
        <v>111</v>
      </c>
      <c r="O10" s="4"/>
      <c r="P10" s="4"/>
    </row>
    <row r="11" spans="2:21" x14ac:dyDescent="0.3">
      <c r="B11" s="35"/>
      <c r="C11" s="36"/>
    </row>
    <row r="12" spans="2:21" x14ac:dyDescent="0.3">
      <c r="B12" s="37"/>
      <c r="C12" s="38"/>
    </row>
    <row r="13" spans="2:21" x14ac:dyDescent="0.3">
      <c r="B13" s="37"/>
      <c r="C13" s="38"/>
    </row>
    <row r="14" spans="2:21" x14ac:dyDescent="0.3">
      <c r="B14" s="37"/>
      <c r="C14" s="38"/>
    </row>
    <row r="15" spans="2:21" x14ac:dyDescent="0.3">
      <c r="B15" s="37"/>
      <c r="C15" s="38"/>
    </row>
    <row r="16" spans="2:21" x14ac:dyDescent="0.3">
      <c r="B16" s="37"/>
      <c r="C16" s="38"/>
    </row>
    <row r="17" spans="2:20" x14ac:dyDescent="0.3">
      <c r="B17" s="37"/>
      <c r="C17" s="38"/>
    </row>
    <row r="18" spans="2:20" x14ac:dyDescent="0.3">
      <c r="B18" s="37"/>
      <c r="C18" s="38"/>
    </row>
    <row r="19" spans="2:20" x14ac:dyDescent="0.3">
      <c r="B19" s="37"/>
      <c r="C19" s="38"/>
    </row>
    <row r="20" spans="2:20" x14ac:dyDescent="0.3">
      <c r="B20" s="37"/>
      <c r="C20" s="38"/>
    </row>
    <row r="21" spans="2:20" ht="15" thickBot="1" x14ac:dyDescent="0.35">
      <c r="B21" s="39"/>
      <c r="C21" s="40"/>
    </row>
    <row r="23" spans="2:20" ht="15" thickBot="1" x14ac:dyDescent="0.35">
      <c r="B23" s="41" t="s">
        <v>106</v>
      </c>
      <c r="C23" s="4"/>
      <c r="E23" s="4" t="s">
        <v>3</v>
      </c>
      <c r="F23" s="4"/>
      <c r="H23" s="4" t="str">
        <f>+"SITUATION DE L'ENTREPRISE " &amp; Analyse!L10</f>
        <v>SITUATION DE L'ENTREPRISE STELLIMAC</v>
      </c>
      <c r="I23" s="4"/>
      <c r="J23" s="4"/>
      <c r="K23" s="4"/>
      <c r="L23" s="4"/>
      <c r="M23" s="4"/>
      <c r="N23" s="4"/>
      <c r="O23" s="4"/>
      <c r="Q23" s="4" t="s">
        <v>82</v>
      </c>
      <c r="R23" s="4"/>
      <c r="S23" s="4"/>
      <c r="T23" s="4" t="s">
        <v>81</v>
      </c>
    </row>
    <row r="24" spans="2:20" x14ac:dyDescent="0.3">
      <c r="B24" s="35"/>
      <c r="C24" s="36"/>
      <c r="E24" s="35"/>
      <c r="F24" s="36"/>
      <c r="Q24" s="5" t="s">
        <v>102</v>
      </c>
      <c r="R24" s="5"/>
      <c r="S24" s="5"/>
      <c r="T24" s="7">
        <f>Analyse!T11</f>
        <v>15183598224</v>
      </c>
    </row>
    <row r="25" spans="2:20" x14ac:dyDescent="0.3">
      <c r="B25" s="37"/>
      <c r="C25" s="38"/>
      <c r="E25" s="37"/>
      <c r="F25" s="38"/>
      <c r="Q25" s="6" t="s">
        <v>83</v>
      </c>
      <c r="R25" s="5"/>
      <c r="S25" s="5"/>
      <c r="T25" s="7">
        <f>Analyse!T12</f>
        <v>12308638</v>
      </c>
    </row>
    <row r="26" spans="2:20" x14ac:dyDescent="0.3">
      <c r="B26" s="37"/>
      <c r="C26" s="38"/>
      <c r="E26" s="37"/>
      <c r="F26" s="38"/>
      <c r="Q26" s="6" t="s">
        <v>84</v>
      </c>
      <c r="R26" s="5"/>
      <c r="S26" s="5"/>
      <c r="T26" s="7">
        <f>Analyse!T13</f>
        <v>14535909</v>
      </c>
    </row>
    <row r="27" spans="2:20" x14ac:dyDescent="0.3">
      <c r="B27" s="37"/>
      <c r="C27" s="38"/>
      <c r="E27" s="37"/>
      <c r="F27" s="38"/>
      <c r="Q27" s="6" t="s">
        <v>85</v>
      </c>
      <c r="R27" s="5"/>
      <c r="S27" s="5"/>
      <c r="T27" s="7">
        <f>Analyse!T14</f>
        <v>11051639</v>
      </c>
    </row>
    <row r="28" spans="2:20" x14ac:dyDescent="0.3">
      <c r="B28" s="37"/>
      <c r="C28" s="38"/>
      <c r="E28" s="37"/>
      <c r="F28" s="38"/>
      <c r="Q28" s="6" t="s">
        <v>86</v>
      </c>
      <c r="R28" s="5"/>
      <c r="S28" s="5"/>
      <c r="T28" s="7">
        <f>Analyse!T15</f>
        <v>6964620</v>
      </c>
    </row>
    <row r="29" spans="2:20" x14ac:dyDescent="0.3">
      <c r="B29" s="37"/>
      <c r="C29" s="38"/>
      <c r="E29" s="37"/>
      <c r="F29" s="38"/>
      <c r="Q29" s="6" t="s">
        <v>87</v>
      </c>
      <c r="R29" s="5"/>
      <c r="S29" s="5"/>
      <c r="T29" s="7">
        <f>Analyse!T16</f>
        <v>10295928</v>
      </c>
    </row>
    <row r="30" spans="2:20" x14ac:dyDescent="0.3">
      <c r="B30" s="37"/>
      <c r="C30" s="38"/>
      <c r="E30" s="37"/>
      <c r="F30" s="38"/>
      <c r="Q30" s="6" t="s">
        <v>88</v>
      </c>
      <c r="R30" s="5"/>
      <c r="S30" s="5"/>
      <c r="T30" s="7">
        <f>Analyse!T17</f>
        <v>5215982</v>
      </c>
    </row>
    <row r="31" spans="2:20" x14ac:dyDescent="0.3">
      <c r="B31" s="37"/>
      <c r="C31" s="38"/>
      <c r="E31" s="37"/>
      <c r="F31" s="38"/>
      <c r="Q31" s="6" t="s">
        <v>89</v>
      </c>
      <c r="R31" s="5"/>
      <c r="S31" s="5"/>
      <c r="T31" s="7">
        <f>Analyse!T18</f>
        <v>6.4088452924279643E-2</v>
      </c>
    </row>
    <row r="32" spans="2:20" x14ac:dyDescent="0.3">
      <c r="B32" s="37"/>
      <c r="C32" s="38"/>
      <c r="E32" s="37"/>
      <c r="F32" s="38"/>
      <c r="Q32" s="6" t="s">
        <v>90</v>
      </c>
      <c r="R32" s="5"/>
      <c r="S32" s="5"/>
      <c r="T32" s="7">
        <f>Analyse!T19</f>
        <v>387.73736790831924</v>
      </c>
    </row>
    <row r="33" spans="2:20" x14ac:dyDescent="0.3">
      <c r="B33" s="37"/>
      <c r="C33" s="38"/>
      <c r="E33" s="37"/>
      <c r="F33" s="38"/>
    </row>
    <row r="34" spans="2:20" x14ac:dyDescent="0.3">
      <c r="B34" s="37"/>
      <c r="C34" s="38"/>
      <c r="E34" s="37"/>
      <c r="F34" s="38"/>
      <c r="Q34" s="4" t="s">
        <v>95</v>
      </c>
      <c r="R34" s="4"/>
      <c r="S34" s="4"/>
      <c r="T34" s="4" t="s">
        <v>81</v>
      </c>
    </row>
    <row r="35" spans="2:20" x14ac:dyDescent="0.3">
      <c r="B35" s="37"/>
      <c r="C35" s="38"/>
      <c r="E35" s="37"/>
      <c r="F35" s="38"/>
      <c r="Q35" s="6" t="s">
        <v>91</v>
      </c>
      <c r="R35" s="5"/>
      <c r="S35" s="6"/>
      <c r="T35" s="29">
        <f>Analyse!W11</f>
        <v>1.5136286972921155E-4</v>
      </c>
    </row>
    <row r="36" spans="2:20" x14ac:dyDescent="0.3">
      <c r="B36" s="37"/>
      <c r="C36" s="38"/>
      <c r="E36" s="37"/>
      <c r="F36" s="38"/>
      <c r="Q36" s="6" t="s">
        <v>92</v>
      </c>
      <c r="R36" s="5"/>
      <c r="S36" s="6"/>
      <c r="T36" s="29">
        <f>Analyse!W12</f>
        <v>-7.2094189124447322E-3</v>
      </c>
    </row>
    <row r="37" spans="2:20" x14ac:dyDescent="0.3">
      <c r="B37" s="37"/>
      <c r="C37" s="38"/>
      <c r="E37" s="37"/>
      <c r="F37" s="38"/>
      <c r="H37" s="4" t="s">
        <v>72</v>
      </c>
      <c r="I37" s="4"/>
      <c r="J37" s="4"/>
      <c r="K37" s="4"/>
      <c r="L37" s="4"/>
      <c r="M37" s="4"/>
      <c r="N37" s="4"/>
      <c r="O37" s="45" t="s">
        <v>81</v>
      </c>
      <c r="Q37" s="6" t="s">
        <v>93</v>
      </c>
      <c r="R37" s="5"/>
      <c r="S37" s="6"/>
      <c r="T37" s="29">
        <f>Analyse!W13</f>
        <v>-2.4167897754755682E-2</v>
      </c>
    </row>
    <row r="38" spans="2:20" x14ac:dyDescent="0.3">
      <c r="B38" s="37"/>
      <c r="C38" s="38"/>
      <c r="E38" s="37"/>
      <c r="F38" s="38"/>
      <c r="H38" s="5" t="s">
        <v>73</v>
      </c>
      <c r="I38" s="5"/>
      <c r="J38" s="5"/>
      <c r="K38" s="5"/>
      <c r="L38" s="5"/>
      <c r="M38" s="5"/>
      <c r="N38" s="5"/>
      <c r="O38" s="46">
        <f>Analyse!Q11</f>
        <v>-7700540</v>
      </c>
      <c r="Q38" s="6" t="s">
        <v>94</v>
      </c>
      <c r="R38" s="5"/>
      <c r="S38" s="6"/>
      <c r="T38" s="29">
        <f>Analyse!W14</f>
        <v>0.44379427375785885</v>
      </c>
    </row>
    <row r="39" spans="2:20" x14ac:dyDescent="0.3">
      <c r="B39" s="37"/>
      <c r="C39" s="38"/>
      <c r="E39" s="37"/>
      <c r="F39" s="38"/>
      <c r="H39" s="5" t="s">
        <v>74</v>
      </c>
      <c r="I39" s="5"/>
      <c r="J39" s="5"/>
      <c r="K39" s="5"/>
      <c r="L39" s="5"/>
      <c r="M39" s="5"/>
      <c r="N39" s="5"/>
      <c r="O39" s="46">
        <f>Analyse!Q12</f>
        <v>-9800917</v>
      </c>
    </row>
    <row r="40" spans="2:20" x14ac:dyDescent="0.3">
      <c r="B40" s="37"/>
      <c r="C40" s="38"/>
      <c r="E40" s="37"/>
      <c r="F40" s="38"/>
      <c r="H40" s="5" t="s">
        <v>75</v>
      </c>
      <c r="I40" s="5"/>
      <c r="J40" s="5"/>
      <c r="K40" s="5"/>
      <c r="L40" s="5"/>
      <c r="M40" s="5"/>
      <c r="N40" s="5"/>
      <c r="O40" s="46">
        <f>Analyse!Q13</f>
        <v>2100377</v>
      </c>
      <c r="Q40" s="4" t="s">
        <v>96</v>
      </c>
      <c r="R40" s="4"/>
      <c r="S40" s="4"/>
      <c r="T40" s="4" t="s">
        <v>81</v>
      </c>
    </row>
    <row r="41" spans="2:20" x14ac:dyDescent="0.3">
      <c r="B41" s="37"/>
      <c r="C41" s="38"/>
      <c r="E41" s="37"/>
      <c r="F41" s="38"/>
      <c r="H41" s="5" t="s">
        <v>76</v>
      </c>
      <c r="I41" s="5"/>
      <c r="J41" s="5"/>
      <c r="K41" s="5"/>
      <c r="L41" s="5"/>
      <c r="M41" s="5"/>
      <c r="N41" s="5"/>
      <c r="O41" s="46">
        <f>Analyse!Q14</f>
        <v>0.77958087178996682</v>
      </c>
      <c r="Q41" s="6" t="s">
        <v>97</v>
      </c>
      <c r="R41" s="5"/>
      <c r="S41" s="6"/>
      <c r="T41" s="29">
        <f>Analyse!Z11</f>
        <v>0.3499099842228629</v>
      </c>
    </row>
    <row r="42" spans="2:20" x14ac:dyDescent="0.3">
      <c r="B42" s="37"/>
      <c r="C42" s="38"/>
      <c r="E42" s="37"/>
      <c r="F42" s="38"/>
      <c r="H42" s="5" t="s">
        <v>77</v>
      </c>
      <c r="I42" s="5"/>
      <c r="J42" s="5"/>
      <c r="K42" s="5"/>
      <c r="L42" s="5"/>
      <c r="M42" s="5"/>
      <c r="N42" s="5"/>
      <c r="O42" s="46">
        <f>Analyse!Q15</f>
        <v>0.36701075024914126</v>
      </c>
      <c r="Q42" s="6" t="s">
        <v>98</v>
      </c>
      <c r="R42" s="5"/>
      <c r="S42" s="6"/>
      <c r="T42" s="29">
        <f>Analyse!Z12</f>
        <v>5275328.8293811334</v>
      </c>
    </row>
    <row r="43" spans="2:20" x14ac:dyDescent="0.3">
      <c r="B43" s="37"/>
      <c r="C43" s="38"/>
      <c r="E43" s="37"/>
      <c r="F43" s="38"/>
      <c r="H43" s="5" t="s">
        <v>78</v>
      </c>
      <c r="I43" s="5"/>
      <c r="J43" s="5"/>
      <c r="K43" s="5"/>
      <c r="L43" s="5"/>
      <c r="M43" s="5"/>
      <c r="N43" s="5"/>
      <c r="O43" s="46">
        <f>Analyse!Q16</f>
        <v>0.48320230894763255</v>
      </c>
    </row>
    <row r="44" spans="2:20" x14ac:dyDescent="0.3">
      <c r="B44" s="37"/>
      <c r="C44" s="38"/>
      <c r="E44" s="37"/>
      <c r="F44" s="38"/>
      <c r="H44" s="5" t="s">
        <v>79</v>
      </c>
      <c r="I44" s="5"/>
      <c r="J44" s="5"/>
      <c r="K44" s="5"/>
      <c r="L44" s="5"/>
      <c r="M44" s="5"/>
      <c r="N44" s="5"/>
      <c r="O44" s="46">
        <f>Analyse!Q17</f>
        <v>2.352267089520574</v>
      </c>
      <c r="Q44" s="4" t="s">
        <v>99</v>
      </c>
      <c r="R44" s="4"/>
      <c r="S44" s="4"/>
      <c r="T44" s="4" t="s">
        <v>81</v>
      </c>
    </row>
    <row r="45" spans="2:20" x14ac:dyDescent="0.3">
      <c r="B45" s="37"/>
      <c r="C45" s="38"/>
      <c r="E45" s="37"/>
      <c r="F45" s="38"/>
      <c r="H45" s="5" t="s">
        <v>80</v>
      </c>
      <c r="I45" s="5"/>
      <c r="J45" s="5"/>
      <c r="K45" s="5"/>
      <c r="L45" s="5"/>
      <c r="M45" s="5"/>
      <c r="N45" s="5"/>
      <c r="O45" s="46">
        <f>Analyse!Q18</f>
        <v>-36.859598167921732</v>
      </c>
      <c r="Q45" s="6" t="s">
        <v>100</v>
      </c>
      <c r="R45" s="5"/>
      <c r="S45" s="5"/>
      <c r="T45" s="7">
        <f>Analyse!AC11</f>
        <v>1.5</v>
      </c>
    </row>
    <row r="46" spans="2:20" x14ac:dyDescent="0.3">
      <c r="B46" s="37"/>
      <c r="C46" s="38"/>
      <c r="E46" s="37"/>
      <c r="F46" s="38"/>
      <c r="Q46" s="6" t="s">
        <v>77</v>
      </c>
      <c r="R46" s="5"/>
      <c r="S46" s="5"/>
      <c r="T46" s="7">
        <f>Analyse!AC12</f>
        <v>0.36701075024914126</v>
      </c>
    </row>
    <row r="47" spans="2:20" x14ac:dyDescent="0.3">
      <c r="B47" s="37"/>
      <c r="C47" s="38"/>
      <c r="E47" s="37"/>
      <c r="F47" s="38"/>
      <c r="Q47" s="6" t="s">
        <v>101</v>
      </c>
      <c r="R47" s="5"/>
      <c r="S47" s="5"/>
      <c r="T47" s="7">
        <f>Analyse!AC13</f>
        <v>1.8015608419328787E-3</v>
      </c>
    </row>
    <row r="48" spans="2:20" x14ac:dyDescent="0.3">
      <c r="B48" s="37"/>
      <c r="C48" s="38"/>
      <c r="E48" s="37"/>
      <c r="F48" s="38"/>
    </row>
    <row r="49" spans="2:6" ht="15" thickBot="1" x14ac:dyDescent="0.35">
      <c r="B49" s="39"/>
      <c r="C49" s="40"/>
      <c r="E49" s="39"/>
      <c r="F49" s="40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INPUT</vt:lpstr>
      <vt:lpstr>BASE</vt:lpstr>
      <vt:lpstr>Analyse</vt:lpstr>
      <vt:lpstr>Tableau_Bord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Benie</dc:creator>
  <cp:lastModifiedBy>MISSONGO Aime blanchard</cp:lastModifiedBy>
  <dcterms:created xsi:type="dcterms:W3CDTF">2022-04-22T15:42:29Z</dcterms:created>
  <dcterms:modified xsi:type="dcterms:W3CDTF">2026-10-16T14:34:32Z</dcterms:modified>
</cp:coreProperties>
</file>